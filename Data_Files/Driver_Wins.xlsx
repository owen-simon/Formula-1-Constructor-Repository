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imonOM\Repositories\Formula-1-Constructor-Repository\Data_Files\"/>
    </mc:Choice>
  </mc:AlternateContent>
  <xr:revisionPtr revIDLastSave="0" documentId="13_ncr:1_{4AB3F664-3CC8-4AD2-81A6-3A78240BF6D5}" xr6:coauthVersionLast="47" xr6:coauthVersionMax="47" xr10:uidLastSave="{00000000-0000-0000-0000-000000000000}"/>
  <bookViews>
    <workbookView xWindow="-120" yWindow="-120" windowWidth="29040" windowHeight="15720" xr2:uid="{3A639250-557D-4B08-A9B4-7BAD64B6336B}"/>
  </bookViews>
  <sheets>
    <sheet name="Driver_Lineup_Wins" sheetId="1" r:id="rId1"/>
    <sheet name="1991" sheetId="3" r:id="rId2"/>
    <sheet name="1992" sheetId="4" r:id="rId3"/>
    <sheet name="1993" sheetId="5" r:id="rId4"/>
    <sheet name="1994" sheetId="6" r:id="rId5"/>
    <sheet name="1995" sheetId="7" r:id="rId6"/>
    <sheet name="1996" sheetId="8" r:id="rId7"/>
    <sheet name="1997" sheetId="9" r:id="rId8"/>
    <sheet name="1998" sheetId="10" r:id="rId9"/>
    <sheet name="1999" sheetId="11" r:id="rId10"/>
    <sheet name="2000" sheetId="12" r:id="rId11"/>
    <sheet name="2001" sheetId="13" r:id="rId12"/>
    <sheet name="2002" sheetId="2" r:id="rId13"/>
    <sheet name="2003" sheetId="14" r:id="rId14"/>
    <sheet name="2004" sheetId="15" r:id="rId15"/>
    <sheet name="2005" sheetId="16" r:id="rId16"/>
    <sheet name="2006" sheetId="17" r:id="rId17"/>
    <sheet name="2007" sheetId="18" r:id="rId18"/>
    <sheet name="2008" sheetId="19" r:id="rId19"/>
    <sheet name="2009" sheetId="20" r:id="rId20"/>
    <sheet name="2010" sheetId="21" r:id="rId21"/>
    <sheet name="2011" sheetId="22" r:id="rId22"/>
    <sheet name="2012" sheetId="23" r:id="rId23"/>
    <sheet name="2013" sheetId="24" r:id="rId24"/>
    <sheet name="2014" sheetId="25" r:id="rId25"/>
    <sheet name="2015" sheetId="26" r:id="rId26"/>
    <sheet name="2016" sheetId="27" r:id="rId27"/>
    <sheet name="2017" sheetId="28" r:id="rId28"/>
    <sheet name="2018" sheetId="29" r:id="rId29"/>
    <sheet name="2019" sheetId="30" r:id="rId30"/>
    <sheet name="2020" sheetId="31" r:id="rId31"/>
    <sheet name="2021" sheetId="32" r:id="rId32"/>
    <sheet name="2022" sheetId="33" r:id="rId33"/>
    <sheet name="2023" sheetId="34" r:id="rId34"/>
    <sheet name="2024" sheetId="35" r:id="rId35"/>
    <sheet name="2025" sheetId="36" r:id="rId36"/>
    <sheet name="2026" sheetId="37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4" l="1"/>
  <c r="B4" i="14"/>
  <c r="B5" i="14"/>
  <c r="B6" i="14"/>
  <c r="B7" i="14"/>
  <c r="B8" i="14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22" i="14"/>
  <c r="B23" i="14"/>
  <c r="B24" i="14"/>
  <c r="B25" i="14"/>
  <c r="B2" i="14"/>
  <c r="B3" i="13"/>
  <c r="B4" i="13"/>
  <c r="B5" i="13"/>
  <c r="B6" i="13"/>
  <c r="B7" i="13"/>
  <c r="B8" i="13"/>
  <c r="B9" i="13"/>
  <c r="B10" i="13"/>
  <c r="B11" i="13"/>
  <c r="B12" i="13"/>
  <c r="B13" i="13"/>
  <c r="B14" i="13"/>
  <c r="B15" i="13"/>
  <c r="B16" i="13"/>
  <c r="B17" i="13"/>
  <c r="B18" i="13"/>
  <c r="B19" i="13"/>
  <c r="B20" i="13"/>
  <c r="B21" i="13"/>
  <c r="B2" i="13"/>
  <c r="B3" i="12"/>
  <c r="B4" i="12"/>
  <c r="B5" i="12"/>
  <c r="B6" i="12"/>
  <c r="B7" i="12"/>
  <c r="B8" i="12"/>
  <c r="B9" i="12"/>
  <c r="B10" i="12"/>
  <c r="B11" i="12"/>
  <c r="B12" i="12"/>
  <c r="B13" i="12"/>
  <c r="B14" i="12"/>
  <c r="B15" i="12"/>
  <c r="B16" i="12"/>
  <c r="B17" i="12"/>
  <c r="B18" i="12"/>
  <c r="B19" i="12"/>
  <c r="B2" i="12"/>
  <c r="B3" i="11"/>
  <c r="B4" i="11"/>
  <c r="B5" i="11"/>
  <c r="B6" i="11"/>
  <c r="B7" i="11"/>
  <c r="B8" i="11"/>
  <c r="B9" i="11"/>
  <c r="B10" i="11"/>
  <c r="B11" i="11"/>
  <c r="B12" i="11"/>
  <c r="B13" i="11"/>
  <c r="B14" i="11"/>
  <c r="B15" i="11"/>
  <c r="B16" i="11"/>
  <c r="B17" i="11"/>
  <c r="B18" i="11"/>
  <c r="B2" i="11"/>
  <c r="B3" i="10"/>
  <c r="B4" i="10"/>
  <c r="B5" i="10"/>
  <c r="B6" i="10"/>
  <c r="B7" i="10"/>
  <c r="B8" i="10"/>
  <c r="B9" i="10"/>
  <c r="B10" i="10"/>
  <c r="B11" i="10"/>
  <c r="B12" i="10"/>
  <c r="B13" i="10"/>
  <c r="B14" i="10"/>
  <c r="B2" i="10"/>
  <c r="B2" i="9"/>
  <c r="B3" i="9"/>
  <c r="B4" i="9"/>
  <c r="B5" i="9"/>
  <c r="B6" i="9"/>
  <c r="B7" i="9"/>
  <c r="B8" i="9"/>
  <c r="B9" i="9"/>
  <c r="B10" i="9"/>
  <c r="B11" i="9"/>
  <c r="B12" i="9"/>
  <c r="B13" i="9"/>
  <c r="B14" i="9"/>
  <c r="B12" i="8"/>
  <c r="B11" i="8"/>
  <c r="B10" i="8"/>
  <c r="B9" i="8"/>
  <c r="B8" i="8"/>
  <c r="B7" i="8"/>
  <c r="B6" i="8"/>
  <c r="B5" i="8"/>
  <c r="B4" i="8"/>
  <c r="B3" i="8"/>
  <c r="B2" i="8"/>
  <c r="B10" i="7"/>
  <c r="B5" i="5"/>
  <c r="B2" i="3"/>
  <c r="B3" i="7"/>
  <c r="B4" i="7"/>
  <c r="B5" i="7"/>
  <c r="B6" i="7"/>
  <c r="B7" i="7"/>
  <c r="B8" i="7"/>
  <c r="B9" i="7"/>
  <c r="B2" i="7"/>
  <c r="B2" i="5"/>
  <c r="B3" i="5"/>
  <c r="B4" i="5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4" i="2"/>
  <c r="B3" i="6"/>
  <c r="B4" i="6"/>
  <c r="B5" i="6"/>
  <c r="B6" i="6"/>
  <c r="B7" i="6"/>
  <c r="B8" i="6"/>
  <c r="B9" i="6"/>
  <c r="B2" i="6"/>
  <c r="B2" i="4"/>
  <c r="B2" i="2"/>
</calcChain>
</file>

<file path=xl/sharedStrings.xml><?xml version="1.0" encoding="utf-8"?>
<sst xmlns="http://schemas.openxmlformats.org/spreadsheetml/2006/main" count="1084" uniqueCount="150">
  <si>
    <t>Driver</t>
  </si>
  <si>
    <t>Michael Schumacher</t>
  </si>
  <si>
    <t>Rubens Barrichello</t>
  </si>
  <si>
    <t>Kimi Räikkönen</t>
  </si>
  <si>
    <t>David Coulthard</t>
  </si>
  <si>
    <t>Juan Pablo Montoya</t>
  </si>
  <si>
    <t>Ralf Schumacher</t>
  </si>
  <si>
    <t>Felipe Massa</t>
  </si>
  <si>
    <t>Nick Heidfeld</t>
  </si>
  <si>
    <t>Jacques Villeneuve</t>
  </si>
  <si>
    <t>Olivier Panis</t>
  </si>
  <si>
    <t>Jenson Button</t>
  </si>
  <si>
    <t>Jarno Trulli</t>
  </si>
  <si>
    <t>Takuma Sato</t>
  </si>
  <si>
    <t>Giancarlo Fisichella</t>
  </si>
  <si>
    <t>Pedro de la Rosa</t>
  </si>
  <si>
    <t>Eddie Irvine</t>
  </si>
  <si>
    <t>Mark Webber</t>
  </si>
  <si>
    <t>Alex Yoong</t>
  </si>
  <si>
    <t>Enrique Bernoldi</t>
  </si>
  <si>
    <t>Heinz-Harald Frentzen</t>
  </si>
  <si>
    <t>Mika Salo</t>
  </si>
  <si>
    <t>Allan McNish</t>
  </si>
  <si>
    <t>SUM</t>
  </si>
  <si>
    <t>Australia</t>
  </si>
  <si>
    <t>Malaysia</t>
  </si>
  <si>
    <t>Brazil</t>
  </si>
  <si>
    <t>San Marino</t>
  </si>
  <si>
    <t>Spain</t>
  </si>
  <si>
    <t>Austria</t>
  </si>
  <si>
    <t>Monaco</t>
  </si>
  <si>
    <t>Canada</t>
  </si>
  <si>
    <t>Europe</t>
  </si>
  <si>
    <t>Great Britain</t>
  </si>
  <si>
    <t>France</t>
  </si>
  <si>
    <t>Germany</t>
  </si>
  <si>
    <t>Hungary</t>
  </si>
  <si>
    <t>Belgium</t>
  </si>
  <si>
    <t>Italy</t>
  </si>
  <si>
    <t>United States</t>
  </si>
  <si>
    <t>Japan</t>
  </si>
  <si>
    <t>Mexico</t>
  </si>
  <si>
    <t>Portugal</t>
  </si>
  <si>
    <t>South Africa</t>
  </si>
  <si>
    <t>Fernando Alonso</t>
  </si>
  <si>
    <t>Jos Verstappen</t>
  </si>
  <si>
    <t>Cristiano da Matta</t>
  </si>
  <si>
    <t>Pacific</t>
  </si>
  <si>
    <t>Argentina</t>
  </si>
  <si>
    <t>Anthony Davidson</t>
  </si>
  <si>
    <t>Marc Gene</t>
  </si>
  <si>
    <t>Fernando Alonso</t>
  </si>
  <si>
    <t>Heinz-Harald Frentzen</t>
  </si>
  <si>
    <t>Cristiano da Matta</t>
  </si>
  <si>
    <t>Ralph Firman</t>
  </si>
  <si>
    <t>Justin Wilson</t>
  </si>
  <si>
    <t>Antonio Pizzonia</t>
  </si>
  <si>
    <t>Nicolas Kiesa</t>
  </si>
  <si>
    <t>Zsolt Baumgartner</t>
  </si>
  <si>
    <t>Christian Klien</t>
  </si>
  <si>
    <t>Timo Glock</t>
  </si>
  <si>
    <t>Ricardo Zonta</t>
  </si>
  <si>
    <t>Giorgio Pantano</t>
  </si>
  <si>
    <t>Gianmaria Bruni</t>
  </si>
  <si>
    <t>Tiago Monteiro</t>
  </si>
  <si>
    <t>Alexander Wurz</t>
  </si>
  <si>
    <t>Narain Karthikeyan</t>
  </si>
  <si>
    <t>Christijan Albers</t>
  </si>
  <si>
    <t>Patrick Friesacher</t>
  </si>
  <si>
    <t>Vitantonio Liuzzi</t>
  </si>
  <si>
    <t>Robert Doornbos</t>
  </si>
  <si>
    <t>Robert Kubica</t>
  </si>
  <si>
    <t>Nico Rosberg</t>
  </si>
  <si>
    <t>Scott Speed</t>
  </si>
  <si>
    <t>Yuji Ide</t>
  </si>
  <si>
    <t>Sakon Yamamoto</t>
  </si>
  <si>
    <t>Franck Montagny</t>
  </si>
  <si>
    <t>Lewis Hamilton</t>
  </si>
  <si>
    <t>Heikki Kovalainen</t>
  </si>
  <si>
    <t>Sebastian Vettel</t>
  </si>
  <si>
    <t>Adrian Sutil</t>
  </si>
  <si>
    <t>Kazuki Nakajima</t>
  </si>
  <si>
    <t>Anthony Davidson</t>
  </si>
  <si>
    <t>Nelson Piquet</t>
  </si>
  <si>
    <t>Sebastien Bourdais</t>
  </si>
  <si>
    <t>Sebastien Buemi</t>
  </si>
  <si>
    <t>Kamui Kobayashi</t>
  </si>
  <si>
    <t>Romain Grosjean</t>
  </si>
  <si>
    <t>Jaime Alguersuari</t>
  </si>
  <si>
    <t>Luca Badoer</t>
  </si>
  <si>
    <t>Vitaly Petrov</t>
  </si>
  <si>
    <t>Nico Hulkenberg</t>
  </si>
  <si>
    <t>Karun Chandhok</t>
  </si>
  <si>
    <t>Bruno Senna</t>
  </si>
  <si>
    <t>Lucas di Grassi</t>
  </si>
  <si>
    <t>Paul di Resta</t>
  </si>
  <si>
    <t>Sergio Perez</t>
  </si>
  <si>
    <t>Pastor Maldonado</t>
  </si>
  <si>
    <t>Jerome d'Ambrosio</t>
  </si>
  <si>
    <t>Daniel Ricciardo</t>
  </si>
  <si>
    <t>Jean-Eric Vergne</t>
  </si>
  <si>
    <t>Charles Pic</t>
  </si>
  <si>
    <t>Esteban Gutierrez</t>
  </si>
  <si>
    <t>Valtteri Bottas</t>
  </si>
  <si>
    <t>Jules Bianchi</t>
  </si>
  <si>
    <t>Giedo van der Garde</t>
  </si>
  <si>
    <t>Max Chilton</t>
  </si>
  <si>
    <t>Kevin Magnussen</t>
  </si>
  <si>
    <t>Daniil Kvyat</t>
  </si>
  <si>
    <t>Marcus Ericsson</t>
  </si>
  <si>
    <t>Will Stevens</t>
  </si>
  <si>
    <t>Max Verstappen</t>
  </si>
  <si>
    <t>Felipe Nasr</t>
  </si>
  <si>
    <t>Carlos Sainz</t>
  </si>
  <si>
    <t>Roberto Merhi</t>
  </si>
  <si>
    <t>Alexander Rossi</t>
  </si>
  <si>
    <t>Jolyon Palmer</t>
  </si>
  <si>
    <t>Pascal Wehrlein</t>
  </si>
  <si>
    <t>Stoffel Vandoorne</t>
  </si>
  <si>
    <t>Esteban Ocon</t>
  </si>
  <si>
    <t>Rio Haryanto</t>
  </si>
  <si>
    <t>Lance Stroll</t>
  </si>
  <si>
    <t>Pierre Gasly</t>
  </si>
  <si>
    <t>Antonio Giovinazzi</t>
  </si>
  <si>
    <t>Brendon Hartley</t>
  </si>
  <si>
    <t>Charles Leclerc</t>
  </si>
  <si>
    <t>Sergey Sirotkin</t>
  </si>
  <si>
    <t>Alexander Albon</t>
  </si>
  <si>
    <t>Lando Norris</t>
  </si>
  <si>
    <t>George Russell</t>
  </si>
  <si>
    <t>Nicholas Latifi</t>
  </si>
  <si>
    <t>Jack Aitken</t>
  </si>
  <si>
    <t>Pietro Fittipaldi</t>
  </si>
  <si>
    <t>Yuki Tsunoda</t>
  </si>
  <si>
    <t>Mick Schumacher</t>
  </si>
  <si>
    <t>Nikita Mazepin</t>
  </si>
  <si>
    <t>Zhou Guanyu</t>
  </si>
  <si>
    <t>Nyck De Vries</t>
  </si>
  <si>
    <t>Oscar Piastri</t>
  </si>
  <si>
    <t>Liam Lawson</t>
  </si>
  <si>
    <t>Logan Sargeant</t>
  </si>
  <si>
    <t>Oliver Bearman</t>
  </si>
  <si>
    <t>Franco Colapinto</t>
  </si>
  <si>
    <t>Jack Doohan</t>
  </si>
  <si>
    <t>Kimi Antonelli</t>
  </si>
  <si>
    <t>Isack Hadjar</t>
  </si>
  <si>
    <t>Gabriel Bortoleto</t>
  </si>
  <si>
    <t>Arvid Lindblad</t>
  </si>
  <si>
    <t>Luca Badoer</t>
  </si>
  <si>
    <t>Luxembourg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</si>
</sst>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249977111117893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mula1.com/en/results/2026/drivers/VALBOT01/valtteri-bottas" TargetMode="Externa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formula1.com/en/results/2026/drivers/VALBOT01/valtteri-bottas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114300</xdr:rowOff>
    </xdr:to>
    <xdr:sp macro="" textlink="">
      <xdr:nvSpPr>
        <xdr:cNvPr id="2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0A3E2722-7405-4FAD-9FFE-86DD60A773DD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139</xdr:row>
      <xdr:rowOff>0</xdr:rowOff>
    </xdr:from>
    <xdr:to>
      <xdr:col>0</xdr:col>
      <xdr:colOff>304800</xdr:colOff>
      <xdr:row>140</xdr:row>
      <xdr:rowOff>114300</xdr:rowOff>
    </xdr:to>
    <xdr:sp macro="" textlink="">
      <xdr:nvSpPr>
        <xdr:cNvPr id="3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58D26C26-931C-4DA0-A2E4-9DD2AA59A5EB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37907" name="AutoShape 19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70C39A74-EDC8-0411-5885-812B0B5C9F85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37909" name="AutoShape 21">
          <a:hlinkClick xmlns:r="http://schemas.openxmlformats.org/officeDocument/2006/relationships" r:id="rId1"/>
          <a:extLst>
            <a:ext uri="{FF2B5EF4-FFF2-40B4-BE49-F238E27FC236}">
              <a16:creationId xmlns:a16="http://schemas.microsoft.com/office/drawing/2014/main" id="{119FC7EB-B2FF-3FE9-DA70-A559D5ECCC2C}"/>
            </a:ext>
          </a:extLst>
        </xdr:cNvPr>
        <xdr:cNvSpPr>
          <a:spLocks noChangeAspect="1" noChangeArrowheads="1"/>
        </xdr:cNvSpPr>
      </xdr:nvSpPr>
      <xdr:spPr bwMode="auto">
        <a:xfrm>
          <a:off x="0" y="3619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EEE69D-1A9D-4213-BBC7-B7EBD153B749}">
  <dimension ref="A1:AL121"/>
  <sheetViews>
    <sheetView tabSelected="1" zoomScale="70" zoomScaleNormal="70" workbookViewId="0">
      <selection activeCell="P15" sqref="P15"/>
    </sheetView>
  </sheetViews>
  <sheetFormatPr defaultRowHeight="15" x14ac:dyDescent="0.25"/>
  <cols>
    <col min="1" max="1" width="22.28515625" bestFit="1" customWidth="1"/>
    <col min="2" max="2" width="22.28515625" customWidth="1"/>
  </cols>
  <sheetData>
    <row r="1" spans="1:38" x14ac:dyDescent="0.25">
      <c r="A1" t="s">
        <v>0</v>
      </c>
      <c r="C1">
        <v>2026</v>
      </c>
      <c r="D1">
        <v>2025</v>
      </c>
      <c r="E1">
        <v>2024</v>
      </c>
      <c r="F1">
        <v>2023</v>
      </c>
      <c r="G1">
        <v>2022</v>
      </c>
      <c r="H1">
        <v>2021</v>
      </c>
      <c r="I1">
        <v>2020</v>
      </c>
      <c r="J1">
        <v>2019</v>
      </c>
      <c r="K1">
        <v>2018</v>
      </c>
      <c r="L1">
        <v>2017</v>
      </c>
      <c r="M1">
        <v>2016</v>
      </c>
      <c r="N1">
        <v>2015</v>
      </c>
      <c r="O1">
        <v>2014</v>
      </c>
      <c r="P1">
        <v>2013</v>
      </c>
      <c r="Q1">
        <v>2012</v>
      </c>
      <c r="R1">
        <v>2011</v>
      </c>
      <c r="S1">
        <v>2010</v>
      </c>
      <c r="T1">
        <v>2009</v>
      </c>
      <c r="U1">
        <v>2008</v>
      </c>
      <c r="V1">
        <v>2007</v>
      </c>
      <c r="W1">
        <v>2006</v>
      </c>
      <c r="X1">
        <v>2005</v>
      </c>
      <c r="Y1">
        <v>2004</v>
      </c>
      <c r="Z1">
        <v>2003</v>
      </c>
      <c r="AA1">
        <v>2002</v>
      </c>
      <c r="AB1">
        <v>2001</v>
      </c>
      <c r="AC1">
        <v>2000</v>
      </c>
      <c r="AD1">
        <v>1999</v>
      </c>
      <c r="AE1">
        <v>1998</v>
      </c>
      <c r="AF1">
        <v>1997</v>
      </c>
      <c r="AG1">
        <v>1996</v>
      </c>
      <c r="AH1">
        <v>1995</v>
      </c>
      <c r="AI1">
        <v>1994</v>
      </c>
      <c r="AJ1">
        <v>1993</v>
      </c>
      <c r="AK1">
        <v>1992</v>
      </c>
      <c r="AL1">
        <v>1991</v>
      </c>
    </row>
    <row r="2" spans="1:38" x14ac:dyDescent="0.25">
      <c r="A2" t="s">
        <v>1</v>
      </c>
      <c r="Z2">
        <v>6</v>
      </c>
      <c r="AA2">
        <v>11</v>
      </c>
      <c r="AB2">
        <v>9</v>
      </c>
      <c r="AC2">
        <v>9</v>
      </c>
      <c r="AD2">
        <v>2</v>
      </c>
      <c r="AE2">
        <v>6</v>
      </c>
      <c r="AF2">
        <v>5</v>
      </c>
      <c r="AG2">
        <v>3</v>
      </c>
      <c r="AH2">
        <v>9</v>
      </c>
      <c r="AI2">
        <v>8</v>
      </c>
      <c r="AJ2">
        <v>1</v>
      </c>
      <c r="AK2">
        <v>1</v>
      </c>
      <c r="AL2">
        <v>0</v>
      </c>
    </row>
    <row r="3" spans="1:38" x14ac:dyDescent="0.25">
      <c r="A3" t="s">
        <v>2</v>
      </c>
      <c r="Z3">
        <v>2</v>
      </c>
      <c r="AA3">
        <v>4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 s="1">
        <v>0</v>
      </c>
      <c r="AL3" s="1">
        <v>0</v>
      </c>
    </row>
    <row r="4" spans="1:38" x14ac:dyDescent="0.25">
      <c r="A4" t="s">
        <v>3</v>
      </c>
      <c r="Z4">
        <v>1</v>
      </c>
      <c r="AA4">
        <v>0</v>
      </c>
      <c r="AB4">
        <v>0</v>
      </c>
      <c r="AC4" s="1">
        <v>0</v>
      </c>
      <c r="AD4" s="1">
        <v>0</v>
      </c>
      <c r="AE4" s="1">
        <v>0</v>
      </c>
      <c r="AF4" s="1">
        <v>0</v>
      </c>
      <c r="AG4" s="1">
        <v>0</v>
      </c>
      <c r="AH4" s="1">
        <v>0</v>
      </c>
      <c r="AI4" s="1">
        <v>0</v>
      </c>
      <c r="AJ4" s="1">
        <v>0</v>
      </c>
      <c r="AK4" s="1">
        <v>0</v>
      </c>
      <c r="AL4" s="1">
        <v>0</v>
      </c>
    </row>
    <row r="5" spans="1:38" x14ac:dyDescent="0.25">
      <c r="A5" t="s">
        <v>4</v>
      </c>
      <c r="Z5">
        <v>1</v>
      </c>
      <c r="AA5">
        <v>1</v>
      </c>
      <c r="AB5">
        <v>2</v>
      </c>
      <c r="AC5">
        <v>3</v>
      </c>
      <c r="AD5">
        <v>2</v>
      </c>
      <c r="AE5">
        <v>1</v>
      </c>
      <c r="AF5">
        <v>2</v>
      </c>
      <c r="AG5">
        <v>0</v>
      </c>
      <c r="AH5">
        <v>1</v>
      </c>
      <c r="AI5">
        <v>0</v>
      </c>
      <c r="AJ5" s="1">
        <v>0</v>
      </c>
      <c r="AK5" s="1">
        <v>0</v>
      </c>
      <c r="AL5" s="1">
        <v>0</v>
      </c>
    </row>
    <row r="6" spans="1:38" x14ac:dyDescent="0.25">
      <c r="A6" t="s">
        <v>5</v>
      </c>
      <c r="Z6">
        <v>2</v>
      </c>
      <c r="AA6">
        <v>0</v>
      </c>
      <c r="AB6">
        <v>1</v>
      </c>
      <c r="AC6" s="1">
        <v>0</v>
      </c>
      <c r="AD6" s="1">
        <v>0</v>
      </c>
      <c r="AE6" s="1">
        <v>0</v>
      </c>
      <c r="AF6" s="1">
        <v>0</v>
      </c>
      <c r="AG6" s="1">
        <v>0</v>
      </c>
      <c r="AH6" s="1">
        <v>0</v>
      </c>
      <c r="AI6" s="1">
        <v>0</v>
      </c>
      <c r="AJ6" s="1">
        <v>0</v>
      </c>
      <c r="AK6" s="1">
        <v>0</v>
      </c>
      <c r="AL6" s="1">
        <v>0</v>
      </c>
    </row>
    <row r="7" spans="1:38" x14ac:dyDescent="0.25">
      <c r="A7" t="s">
        <v>6</v>
      </c>
      <c r="Z7">
        <v>2</v>
      </c>
      <c r="AA7">
        <v>1</v>
      </c>
      <c r="AB7">
        <v>3</v>
      </c>
      <c r="AC7">
        <v>0</v>
      </c>
      <c r="AD7">
        <v>0</v>
      </c>
      <c r="AE7">
        <v>0</v>
      </c>
      <c r="AF7">
        <v>0</v>
      </c>
      <c r="AG7" s="1">
        <v>0</v>
      </c>
      <c r="AH7" s="1">
        <v>0</v>
      </c>
      <c r="AI7" s="1">
        <v>0</v>
      </c>
      <c r="AJ7" s="1">
        <v>0</v>
      </c>
      <c r="AK7" s="1">
        <v>0</v>
      </c>
      <c r="AL7" s="1">
        <v>0</v>
      </c>
    </row>
    <row r="8" spans="1:38" x14ac:dyDescent="0.25">
      <c r="A8" t="s">
        <v>7</v>
      </c>
      <c r="Z8">
        <v>0</v>
      </c>
      <c r="AA8">
        <v>0</v>
      </c>
      <c r="AB8" s="1">
        <v>0</v>
      </c>
      <c r="AC8" s="1">
        <v>0</v>
      </c>
      <c r="AD8" s="1">
        <v>0</v>
      </c>
      <c r="AE8" s="1">
        <v>0</v>
      </c>
      <c r="AF8" s="1">
        <v>0</v>
      </c>
      <c r="AG8" s="1">
        <v>0</v>
      </c>
      <c r="AH8" s="1">
        <v>0</v>
      </c>
      <c r="AI8" s="1">
        <v>0</v>
      </c>
      <c r="AJ8" s="1">
        <v>0</v>
      </c>
      <c r="AK8" s="1">
        <v>0</v>
      </c>
      <c r="AL8" s="1">
        <v>0</v>
      </c>
    </row>
    <row r="9" spans="1:38" x14ac:dyDescent="0.25">
      <c r="A9" t="s">
        <v>8</v>
      </c>
      <c r="Z9">
        <v>0</v>
      </c>
      <c r="AA9">
        <v>0</v>
      </c>
      <c r="AB9">
        <v>0</v>
      </c>
      <c r="AC9">
        <v>0</v>
      </c>
      <c r="AD9" s="1">
        <v>0</v>
      </c>
      <c r="AE9" s="1">
        <v>0</v>
      </c>
      <c r="AF9" s="1">
        <v>0</v>
      </c>
      <c r="AG9" s="1">
        <v>0</v>
      </c>
      <c r="AH9" s="1">
        <v>0</v>
      </c>
      <c r="AI9" s="1">
        <v>0</v>
      </c>
      <c r="AJ9" s="1">
        <v>0</v>
      </c>
      <c r="AK9" s="1">
        <v>0</v>
      </c>
      <c r="AL9" s="1">
        <v>0</v>
      </c>
    </row>
    <row r="10" spans="1:38" x14ac:dyDescent="0.25">
      <c r="A10" t="s">
        <v>9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7</v>
      </c>
      <c r="AG10">
        <v>4</v>
      </c>
      <c r="AH10" s="1">
        <v>0</v>
      </c>
      <c r="AI10" s="1">
        <v>0</v>
      </c>
      <c r="AJ10" s="1">
        <v>0</v>
      </c>
      <c r="AK10" s="1">
        <v>0</v>
      </c>
      <c r="AL10" s="1">
        <v>0</v>
      </c>
    </row>
    <row r="11" spans="1:38" x14ac:dyDescent="0.25">
      <c r="A11" t="s">
        <v>10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1</v>
      </c>
      <c r="AH11">
        <v>0</v>
      </c>
      <c r="AI11">
        <v>0</v>
      </c>
      <c r="AJ11" s="1">
        <v>0</v>
      </c>
      <c r="AK11" s="1">
        <v>0</v>
      </c>
      <c r="AL11" s="1">
        <v>0</v>
      </c>
    </row>
    <row r="12" spans="1:38" x14ac:dyDescent="0.25">
      <c r="A12" t="s">
        <v>11</v>
      </c>
      <c r="Z12">
        <v>0</v>
      </c>
      <c r="AA12">
        <v>0</v>
      </c>
      <c r="AB12">
        <v>0</v>
      </c>
      <c r="AC12">
        <v>0</v>
      </c>
      <c r="AD12" s="1">
        <v>0</v>
      </c>
      <c r="AE12" s="1">
        <v>0</v>
      </c>
      <c r="AF12" s="1">
        <v>0</v>
      </c>
      <c r="AG12" s="1">
        <v>0</v>
      </c>
      <c r="AH12" s="1">
        <v>0</v>
      </c>
      <c r="AI12" s="1">
        <v>0</v>
      </c>
      <c r="AJ12" s="1">
        <v>0</v>
      </c>
      <c r="AK12" s="1">
        <v>0</v>
      </c>
      <c r="AL12" s="1">
        <v>0</v>
      </c>
    </row>
    <row r="13" spans="1:38" x14ac:dyDescent="0.25">
      <c r="A13" t="s">
        <v>12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G13" s="1">
        <v>0</v>
      </c>
      <c r="AH13" s="1">
        <v>0</v>
      </c>
      <c r="AI13" s="1">
        <v>0</v>
      </c>
      <c r="AJ13" s="1">
        <v>0</v>
      </c>
      <c r="AK13" s="1">
        <v>0</v>
      </c>
      <c r="AL13" s="1">
        <v>0</v>
      </c>
    </row>
    <row r="14" spans="1:38" x14ac:dyDescent="0.25">
      <c r="A14" t="s">
        <v>13</v>
      </c>
      <c r="Z14">
        <v>0</v>
      </c>
      <c r="AA14">
        <v>0</v>
      </c>
      <c r="AB14" s="1">
        <v>0</v>
      </c>
      <c r="AC14" s="1">
        <v>0</v>
      </c>
      <c r="AD14" s="1">
        <v>0</v>
      </c>
      <c r="AE14" s="1">
        <v>0</v>
      </c>
      <c r="AF14" s="1">
        <v>0</v>
      </c>
      <c r="AG14" s="1">
        <v>0</v>
      </c>
      <c r="AH14" s="1">
        <v>0</v>
      </c>
      <c r="AI14" s="1">
        <v>0</v>
      </c>
      <c r="AJ14" s="1">
        <v>0</v>
      </c>
      <c r="AK14" s="1">
        <v>0</v>
      </c>
      <c r="AL14" s="1">
        <v>0</v>
      </c>
    </row>
    <row r="15" spans="1:38" x14ac:dyDescent="0.25">
      <c r="A15" t="s">
        <v>14</v>
      </c>
      <c r="Z15">
        <v>1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 s="1">
        <v>0</v>
      </c>
      <c r="AI15" s="1">
        <v>0</v>
      </c>
      <c r="AJ15" s="1">
        <v>0</v>
      </c>
      <c r="AK15" s="1">
        <v>0</v>
      </c>
      <c r="AL15" s="1">
        <v>0</v>
      </c>
    </row>
    <row r="16" spans="1:38" x14ac:dyDescent="0.25">
      <c r="A16" t="s">
        <v>15</v>
      </c>
      <c r="Z16">
        <v>0</v>
      </c>
      <c r="AA16">
        <v>0</v>
      </c>
      <c r="AB16">
        <v>0</v>
      </c>
      <c r="AC16">
        <v>0</v>
      </c>
      <c r="AD16">
        <v>0</v>
      </c>
      <c r="AE16" s="1">
        <v>0</v>
      </c>
      <c r="AF16" s="1">
        <v>0</v>
      </c>
      <c r="AG16" s="1">
        <v>0</v>
      </c>
      <c r="AH16" s="1">
        <v>0</v>
      </c>
      <c r="AI16" s="1">
        <v>0</v>
      </c>
      <c r="AJ16" s="1">
        <v>0</v>
      </c>
      <c r="AK16" s="1">
        <v>0</v>
      </c>
      <c r="AL16" s="1">
        <v>0</v>
      </c>
    </row>
    <row r="17" spans="1:38" x14ac:dyDescent="0.25">
      <c r="A17" t="s">
        <v>16</v>
      </c>
      <c r="Z17">
        <v>0</v>
      </c>
      <c r="AA17">
        <v>0</v>
      </c>
      <c r="AB17">
        <v>0</v>
      </c>
      <c r="AC17">
        <v>0</v>
      </c>
      <c r="AD17">
        <v>4</v>
      </c>
      <c r="AE17">
        <v>0</v>
      </c>
      <c r="AF17">
        <v>0</v>
      </c>
      <c r="AH17">
        <v>0</v>
      </c>
      <c r="AI17">
        <v>0</v>
      </c>
      <c r="AJ17">
        <v>0</v>
      </c>
      <c r="AK17" s="1">
        <v>0</v>
      </c>
      <c r="AL17" s="1">
        <v>0</v>
      </c>
    </row>
    <row r="18" spans="1:38" x14ac:dyDescent="0.25">
      <c r="A18" t="s">
        <v>17</v>
      </c>
      <c r="Z18">
        <v>0</v>
      </c>
      <c r="AA18">
        <v>0</v>
      </c>
      <c r="AB18" s="1">
        <v>0</v>
      </c>
      <c r="AC18" s="1">
        <v>0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0</v>
      </c>
      <c r="AK18" s="1">
        <v>0</v>
      </c>
      <c r="AL18" s="1">
        <v>0</v>
      </c>
    </row>
    <row r="19" spans="1:38" x14ac:dyDescent="0.25">
      <c r="A19" t="s">
        <v>82</v>
      </c>
      <c r="Z19">
        <v>0</v>
      </c>
      <c r="AA19">
        <v>0</v>
      </c>
      <c r="AB19" s="1">
        <v>0</v>
      </c>
      <c r="AC19" s="1">
        <v>0</v>
      </c>
      <c r="AD19" s="1">
        <v>0</v>
      </c>
      <c r="AE19" s="1">
        <v>0</v>
      </c>
      <c r="AF19" s="1">
        <v>0</v>
      </c>
      <c r="AG19" s="1">
        <v>0</v>
      </c>
      <c r="AH19" s="1">
        <v>0</v>
      </c>
      <c r="AI19" s="1">
        <v>0</v>
      </c>
      <c r="AJ19" s="1">
        <v>0</v>
      </c>
      <c r="AK19" s="1">
        <v>0</v>
      </c>
      <c r="AL19" s="1">
        <v>0</v>
      </c>
    </row>
    <row r="20" spans="1:38" x14ac:dyDescent="0.25">
      <c r="A20" t="s">
        <v>18</v>
      </c>
      <c r="Z20">
        <v>0</v>
      </c>
      <c r="AA20">
        <v>0</v>
      </c>
      <c r="AB20">
        <v>0</v>
      </c>
      <c r="AC20" s="1">
        <v>0</v>
      </c>
      <c r="AD20" s="1">
        <v>0</v>
      </c>
      <c r="AE20" s="1">
        <v>0</v>
      </c>
      <c r="AF20" s="1">
        <v>0</v>
      </c>
      <c r="AG20" s="1">
        <v>0</v>
      </c>
      <c r="AH20" s="1">
        <v>0</v>
      </c>
      <c r="AI20" s="1">
        <v>0</v>
      </c>
      <c r="AJ20" s="1">
        <v>0</v>
      </c>
      <c r="AK20" s="1">
        <v>0</v>
      </c>
      <c r="AL20" s="1">
        <v>0</v>
      </c>
    </row>
    <row r="21" spans="1:38" x14ac:dyDescent="0.25">
      <c r="A21" t="s">
        <v>19</v>
      </c>
      <c r="Z21">
        <v>0</v>
      </c>
      <c r="AA21">
        <v>0</v>
      </c>
      <c r="AB21">
        <v>0</v>
      </c>
      <c r="AC21" s="1">
        <v>0</v>
      </c>
      <c r="AD21" s="1">
        <v>0</v>
      </c>
      <c r="AE21" s="1">
        <v>0</v>
      </c>
      <c r="AF21" s="1">
        <v>0</v>
      </c>
      <c r="AG21" s="1">
        <v>0</v>
      </c>
      <c r="AH21" s="1">
        <v>0</v>
      </c>
      <c r="AI21" s="1">
        <v>0</v>
      </c>
      <c r="AJ21" s="1">
        <v>0</v>
      </c>
      <c r="AK21" s="1">
        <v>0</v>
      </c>
      <c r="AL21" s="1">
        <v>0</v>
      </c>
    </row>
    <row r="22" spans="1:38" x14ac:dyDescent="0.25">
      <c r="A22" t="s">
        <v>52</v>
      </c>
      <c r="Z22">
        <v>0</v>
      </c>
      <c r="AA22">
        <v>0</v>
      </c>
      <c r="AB22">
        <v>0</v>
      </c>
      <c r="AC22">
        <v>0</v>
      </c>
      <c r="AD22">
        <v>2</v>
      </c>
      <c r="AE22">
        <v>0</v>
      </c>
      <c r="AF22">
        <v>1</v>
      </c>
      <c r="AG22">
        <v>0</v>
      </c>
      <c r="AH22">
        <v>0</v>
      </c>
      <c r="AI22">
        <v>0</v>
      </c>
      <c r="AJ22" s="1">
        <v>0</v>
      </c>
      <c r="AK22" s="1">
        <v>0</v>
      </c>
      <c r="AL22" s="1">
        <v>0</v>
      </c>
    </row>
    <row r="23" spans="1:38" x14ac:dyDescent="0.25">
      <c r="A23" t="s">
        <v>21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 s="1">
        <v>0</v>
      </c>
      <c r="AK23" s="1">
        <v>0</v>
      </c>
      <c r="AL23" s="1">
        <v>0</v>
      </c>
    </row>
    <row r="24" spans="1:38" x14ac:dyDescent="0.25">
      <c r="A24" t="s">
        <v>22</v>
      </c>
      <c r="Z24">
        <v>0</v>
      </c>
      <c r="AA24">
        <v>0</v>
      </c>
      <c r="AB24" s="1">
        <v>0</v>
      </c>
      <c r="AC24" s="1">
        <v>0</v>
      </c>
      <c r="AD24" s="1">
        <v>0</v>
      </c>
      <c r="AE24" s="1">
        <v>0</v>
      </c>
      <c r="AF24" s="1">
        <v>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0</v>
      </c>
    </row>
    <row r="25" spans="1:38" x14ac:dyDescent="0.25">
      <c r="A25" t="s">
        <v>44</v>
      </c>
      <c r="Z25">
        <v>1</v>
      </c>
      <c r="AA25">
        <v>0</v>
      </c>
      <c r="AB25">
        <v>0</v>
      </c>
      <c r="AC25" s="1">
        <v>0</v>
      </c>
      <c r="AD25" s="1">
        <v>0</v>
      </c>
      <c r="AE25" s="1">
        <v>0</v>
      </c>
      <c r="AF25" s="1">
        <v>0</v>
      </c>
      <c r="AG25" s="1">
        <v>0</v>
      </c>
      <c r="AH25" s="1">
        <v>0</v>
      </c>
      <c r="AI25" s="1">
        <v>0</v>
      </c>
      <c r="AJ25" s="1">
        <v>0</v>
      </c>
      <c r="AK25" s="1">
        <v>0</v>
      </c>
      <c r="AL25" s="1">
        <v>0</v>
      </c>
    </row>
    <row r="26" spans="1:38" x14ac:dyDescent="0.25">
      <c r="A26" t="s">
        <v>45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 s="1">
        <v>0</v>
      </c>
      <c r="AK26" s="1">
        <v>0</v>
      </c>
      <c r="AL26" s="1">
        <v>0</v>
      </c>
    </row>
    <row r="27" spans="1:38" x14ac:dyDescent="0.25">
      <c r="A27" t="s">
        <v>46</v>
      </c>
      <c r="Z27">
        <v>0</v>
      </c>
      <c r="AA27" s="1">
        <v>0</v>
      </c>
      <c r="AB27" s="1">
        <v>0</v>
      </c>
      <c r="AC27" s="1">
        <v>0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</row>
    <row r="28" spans="1:38" x14ac:dyDescent="0.25">
      <c r="A28" t="s">
        <v>50</v>
      </c>
      <c r="Z28">
        <v>0</v>
      </c>
      <c r="AA28">
        <v>0</v>
      </c>
      <c r="AB28">
        <v>0</v>
      </c>
      <c r="AC28">
        <v>0</v>
      </c>
      <c r="AD28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</row>
    <row r="29" spans="1:38" x14ac:dyDescent="0.25">
      <c r="A29" t="s">
        <v>54</v>
      </c>
      <c r="Z29">
        <v>0</v>
      </c>
      <c r="AA29" s="1">
        <v>0</v>
      </c>
      <c r="AB29" s="1">
        <v>0</v>
      </c>
      <c r="AC29" s="1">
        <v>0</v>
      </c>
      <c r="AD29" s="1">
        <v>0</v>
      </c>
      <c r="AE29" s="1">
        <v>0</v>
      </c>
      <c r="AF29" s="1">
        <v>0</v>
      </c>
      <c r="AG29" s="1">
        <v>0</v>
      </c>
      <c r="AH29" s="1">
        <v>0</v>
      </c>
      <c r="AI29" s="1">
        <v>0</v>
      </c>
      <c r="AJ29" s="1">
        <v>0</v>
      </c>
      <c r="AK29" s="1">
        <v>0</v>
      </c>
      <c r="AL29" s="1">
        <v>0</v>
      </c>
    </row>
    <row r="30" spans="1:38" x14ac:dyDescent="0.25">
      <c r="A30" t="s">
        <v>55</v>
      </c>
      <c r="Z30">
        <v>0</v>
      </c>
      <c r="AA30" s="1">
        <v>0</v>
      </c>
      <c r="AB30" s="1">
        <v>0</v>
      </c>
      <c r="AC30" s="1">
        <v>0</v>
      </c>
      <c r="AD30" s="1">
        <v>0</v>
      </c>
      <c r="AE30" s="1">
        <v>0</v>
      </c>
      <c r="AF30" s="1">
        <v>0</v>
      </c>
      <c r="AG30" s="1">
        <v>0</v>
      </c>
      <c r="AH30" s="1">
        <v>0</v>
      </c>
      <c r="AI30" s="1">
        <v>0</v>
      </c>
      <c r="AJ30" s="1">
        <v>0</v>
      </c>
      <c r="AK30" s="1">
        <v>0</v>
      </c>
      <c r="AL30" s="1">
        <v>0</v>
      </c>
    </row>
    <row r="31" spans="1:38" x14ac:dyDescent="0.25">
      <c r="A31" t="s">
        <v>56</v>
      </c>
      <c r="Z31">
        <v>0</v>
      </c>
      <c r="AA31" s="1">
        <v>0</v>
      </c>
      <c r="AB31" s="1">
        <v>0</v>
      </c>
      <c r="AC31" s="1">
        <v>0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0</v>
      </c>
      <c r="AK31" s="1">
        <v>0</v>
      </c>
      <c r="AL31" s="1">
        <v>0</v>
      </c>
    </row>
    <row r="32" spans="1:38" x14ac:dyDescent="0.25">
      <c r="A32" t="s">
        <v>57</v>
      </c>
      <c r="Z32">
        <v>0</v>
      </c>
      <c r="AA32" s="1">
        <v>0</v>
      </c>
      <c r="AB32" s="1">
        <v>0</v>
      </c>
      <c r="AC32" s="1">
        <v>0</v>
      </c>
      <c r="AD32" s="1">
        <v>0</v>
      </c>
      <c r="AE32" s="1">
        <v>0</v>
      </c>
      <c r="AF32" s="1">
        <v>0</v>
      </c>
      <c r="AG32" s="1">
        <v>0</v>
      </c>
      <c r="AH32" s="1">
        <v>0</v>
      </c>
      <c r="AI32" s="1">
        <v>0</v>
      </c>
      <c r="AJ32" s="1">
        <v>0</v>
      </c>
      <c r="AK32" s="1">
        <v>0</v>
      </c>
      <c r="AL32" s="1">
        <v>0</v>
      </c>
    </row>
    <row r="33" spans="1:38" x14ac:dyDescent="0.25">
      <c r="A33" t="s">
        <v>58</v>
      </c>
      <c r="Z33">
        <v>0</v>
      </c>
      <c r="AA33" s="1">
        <v>0</v>
      </c>
      <c r="AB33" s="1">
        <v>0</v>
      </c>
      <c r="AC33" s="1">
        <v>0</v>
      </c>
      <c r="AD33" s="1">
        <v>0</v>
      </c>
      <c r="AE33" s="1">
        <v>0</v>
      </c>
      <c r="AF33" s="1">
        <v>0</v>
      </c>
      <c r="AG33" s="1">
        <v>0</v>
      </c>
      <c r="AH33" s="1">
        <v>0</v>
      </c>
      <c r="AI33" s="1">
        <v>0</v>
      </c>
      <c r="AJ33" s="1">
        <v>0</v>
      </c>
      <c r="AK33" s="1">
        <v>0</v>
      </c>
      <c r="AL33" s="1">
        <v>0</v>
      </c>
    </row>
    <row r="34" spans="1:38" x14ac:dyDescent="0.25">
      <c r="A34" t="s">
        <v>59</v>
      </c>
      <c r="Z34" s="1">
        <v>0</v>
      </c>
      <c r="AA34" s="1">
        <v>0</v>
      </c>
      <c r="AB34" s="1">
        <v>0</v>
      </c>
      <c r="AC34" s="1">
        <v>0</v>
      </c>
      <c r="AD34" s="1">
        <v>0</v>
      </c>
      <c r="AE34" s="1">
        <v>0</v>
      </c>
      <c r="AF34" s="1">
        <v>0</v>
      </c>
      <c r="AG34" s="1">
        <v>0</v>
      </c>
      <c r="AH34" s="1">
        <v>0</v>
      </c>
      <c r="AI34" s="1">
        <v>0</v>
      </c>
      <c r="AJ34" s="1">
        <v>0</v>
      </c>
      <c r="AK34" s="1">
        <v>0</v>
      </c>
      <c r="AL34" s="1">
        <v>0</v>
      </c>
    </row>
    <row r="35" spans="1:38" x14ac:dyDescent="0.25">
      <c r="A35" t="s">
        <v>60</v>
      </c>
      <c r="Z35" s="1">
        <v>0</v>
      </c>
      <c r="AA35" s="1">
        <v>0</v>
      </c>
      <c r="AB35" s="1">
        <v>0</v>
      </c>
      <c r="AC35" s="1">
        <v>0</v>
      </c>
      <c r="AD35" s="1">
        <v>0</v>
      </c>
      <c r="AE35" s="1">
        <v>0</v>
      </c>
      <c r="AF35" s="1">
        <v>0</v>
      </c>
      <c r="AG35" s="1">
        <v>0</v>
      </c>
      <c r="AH35" s="1">
        <v>0</v>
      </c>
      <c r="AI35" s="1">
        <v>0</v>
      </c>
      <c r="AJ35" s="1">
        <v>0</v>
      </c>
      <c r="AK35" s="1">
        <v>0</v>
      </c>
      <c r="AL35" s="1">
        <v>0</v>
      </c>
    </row>
    <row r="36" spans="1:38" x14ac:dyDescent="0.25">
      <c r="A36" t="s">
        <v>61</v>
      </c>
      <c r="Z36">
        <v>0</v>
      </c>
      <c r="AA36">
        <v>0</v>
      </c>
      <c r="AB36">
        <v>0</v>
      </c>
      <c r="AC36">
        <v>0</v>
      </c>
      <c r="AE36" s="1">
        <v>0</v>
      </c>
      <c r="AF36" s="1">
        <v>0</v>
      </c>
      <c r="AG36" s="1">
        <v>0</v>
      </c>
      <c r="AH36" s="1">
        <v>0</v>
      </c>
      <c r="AI36" s="1">
        <v>0</v>
      </c>
      <c r="AJ36" s="1">
        <v>0</v>
      </c>
      <c r="AK36" s="1">
        <v>0</v>
      </c>
      <c r="AL36" s="1">
        <v>0</v>
      </c>
    </row>
    <row r="37" spans="1:38" x14ac:dyDescent="0.25">
      <c r="A37" t="s">
        <v>62</v>
      </c>
      <c r="Z37" s="1">
        <v>0</v>
      </c>
      <c r="AA37" s="1">
        <v>0</v>
      </c>
      <c r="AB37" s="1">
        <v>0</v>
      </c>
      <c r="AC37" s="1">
        <v>0</v>
      </c>
      <c r="AD37" s="1">
        <v>0</v>
      </c>
      <c r="AE37" s="1">
        <v>0</v>
      </c>
      <c r="AF37" s="1">
        <v>0</v>
      </c>
      <c r="AG37" s="1">
        <v>0</v>
      </c>
      <c r="AH37" s="1">
        <v>0</v>
      </c>
      <c r="AI37" s="1">
        <v>0</v>
      </c>
      <c r="AJ37" s="1">
        <v>0</v>
      </c>
      <c r="AK37" s="1">
        <v>0</v>
      </c>
      <c r="AL37" s="1">
        <v>0</v>
      </c>
    </row>
    <row r="38" spans="1:38" x14ac:dyDescent="0.25">
      <c r="A38" t="s">
        <v>63</v>
      </c>
      <c r="Z38" s="1">
        <v>0</v>
      </c>
      <c r="AA38" s="1">
        <v>0</v>
      </c>
      <c r="AB38" s="1">
        <v>0</v>
      </c>
      <c r="AC38" s="1">
        <v>0</v>
      </c>
      <c r="AD38" s="1">
        <v>0</v>
      </c>
      <c r="AE38" s="1">
        <v>0</v>
      </c>
      <c r="AF38" s="1">
        <v>0</v>
      </c>
      <c r="AG38" s="1">
        <v>0</v>
      </c>
      <c r="AH38" s="1">
        <v>0</v>
      </c>
      <c r="AI38" s="1">
        <v>0</v>
      </c>
      <c r="AJ38" s="1">
        <v>0</v>
      </c>
      <c r="AK38" s="1">
        <v>0</v>
      </c>
      <c r="AL38" s="1">
        <v>0</v>
      </c>
    </row>
    <row r="39" spans="1:38" x14ac:dyDescent="0.25">
      <c r="A39" t="s">
        <v>64</v>
      </c>
      <c r="Y39" s="1"/>
      <c r="Z39" s="1">
        <v>0</v>
      </c>
      <c r="AA39" s="1">
        <v>0</v>
      </c>
      <c r="AB39" s="1">
        <v>0</v>
      </c>
      <c r="AC39" s="1">
        <v>0</v>
      </c>
      <c r="AD39" s="1">
        <v>0</v>
      </c>
      <c r="AE39" s="1">
        <v>0</v>
      </c>
      <c r="AF39" s="1">
        <v>0</v>
      </c>
      <c r="AG39" s="1">
        <v>0</v>
      </c>
      <c r="AH39" s="1">
        <v>0</v>
      </c>
      <c r="AI39" s="1">
        <v>0</v>
      </c>
      <c r="AJ39" s="1">
        <v>0</v>
      </c>
      <c r="AK39" s="1">
        <v>0</v>
      </c>
      <c r="AL39" s="1">
        <v>0</v>
      </c>
    </row>
    <row r="40" spans="1:38" x14ac:dyDescent="0.25">
      <c r="A40" t="s">
        <v>65</v>
      </c>
      <c r="Z40">
        <v>0</v>
      </c>
      <c r="AA40">
        <v>0</v>
      </c>
      <c r="AB40">
        <v>0</v>
      </c>
      <c r="AC40">
        <v>0</v>
      </c>
      <c r="AE40">
        <v>0</v>
      </c>
      <c r="AF40">
        <v>0</v>
      </c>
      <c r="AG40" s="1">
        <v>0</v>
      </c>
      <c r="AH40" s="1">
        <v>0</v>
      </c>
      <c r="AI40" s="1">
        <v>0</v>
      </c>
      <c r="AJ40" s="1">
        <v>0</v>
      </c>
      <c r="AK40" s="1">
        <v>0</v>
      </c>
      <c r="AL40" s="1">
        <v>0</v>
      </c>
    </row>
    <row r="41" spans="1:38" x14ac:dyDescent="0.25">
      <c r="A41" t="s">
        <v>66</v>
      </c>
      <c r="Y41" s="1"/>
      <c r="Z41" s="1">
        <v>0</v>
      </c>
      <c r="AA41" s="1">
        <v>0</v>
      </c>
      <c r="AB41" s="1">
        <v>0</v>
      </c>
      <c r="AC41" s="1">
        <v>0</v>
      </c>
      <c r="AD41" s="1">
        <v>0</v>
      </c>
      <c r="AE41" s="1">
        <v>0</v>
      </c>
      <c r="AF41" s="1">
        <v>0</v>
      </c>
      <c r="AG41" s="1">
        <v>0</v>
      </c>
      <c r="AH41" s="1">
        <v>0</v>
      </c>
      <c r="AI41" s="1">
        <v>0</v>
      </c>
      <c r="AJ41" s="1">
        <v>0</v>
      </c>
      <c r="AK41" s="1">
        <v>0</v>
      </c>
      <c r="AL41" s="1">
        <v>0</v>
      </c>
    </row>
    <row r="42" spans="1:38" x14ac:dyDescent="0.25">
      <c r="A42" t="s">
        <v>67</v>
      </c>
      <c r="Y42" s="1"/>
      <c r="Z42" s="1">
        <v>0</v>
      </c>
      <c r="AA42" s="1">
        <v>0</v>
      </c>
      <c r="AB42" s="1">
        <v>0</v>
      </c>
      <c r="AC42" s="1">
        <v>0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0</v>
      </c>
      <c r="AJ42" s="1">
        <v>0</v>
      </c>
      <c r="AK42" s="1">
        <v>0</v>
      </c>
      <c r="AL42" s="1">
        <v>0</v>
      </c>
    </row>
    <row r="43" spans="1:38" x14ac:dyDescent="0.25">
      <c r="A43" t="s">
        <v>68</v>
      </c>
      <c r="Y43" s="1"/>
      <c r="Z43" s="1">
        <v>0</v>
      </c>
      <c r="AA43" s="1">
        <v>0</v>
      </c>
      <c r="AB43" s="1">
        <v>0</v>
      </c>
      <c r="AC43" s="1">
        <v>0</v>
      </c>
      <c r="AD43" s="1">
        <v>0</v>
      </c>
      <c r="AE43" s="1">
        <v>0</v>
      </c>
      <c r="AF43" s="1">
        <v>0</v>
      </c>
      <c r="AG43" s="1">
        <v>0</v>
      </c>
      <c r="AH43" s="1">
        <v>0</v>
      </c>
      <c r="AI43" s="1">
        <v>0</v>
      </c>
      <c r="AJ43" s="1">
        <v>0</v>
      </c>
      <c r="AK43" s="1">
        <v>0</v>
      </c>
      <c r="AL43" s="1">
        <v>0</v>
      </c>
    </row>
    <row r="44" spans="1:38" x14ac:dyDescent="0.25">
      <c r="A44" t="s">
        <v>69</v>
      </c>
      <c r="Y44" s="1"/>
      <c r="Z44" s="1">
        <v>0</v>
      </c>
      <c r="AA44" s="1">
        <v>0</v>
      </c>
      <c r="AB44" s="1">
        <v>0</v>
      </c>
      <c r="AC44" s="1">
        <v>0</v>
      </c>
      <c r="AD44" s="1">
        <v>0</v>
      </c>
      <c r="AE44" s="1">
        <v>0</v>
      </c>
      <c r="AF44" s="1">
        <v>0</v>
      </c>
      <c r="AG44" s="1">
        <v>0</v>
      </c>
      <c r="AH44" s="1">
        <v>0</v>
      </c>
      <c r="AI44" s="1">
        <v>0</v>
      </c>
      <c r="AJ44" s="1">
        <v>0</v>
      </c>
      <c r="AK44" s="1">
        <v>0</v>
      </c>
      <c r="AL44" s="1">
        <v>0</v>
      </c>
    </row>
    <row r="45" spans="1:38" x14ac:dyDescent="0.25">
      <c r="A45" t="s">
        <v>70</v>
      </c>
      <c r="Y45" s="1"/>
      <c r="Z45" s="1">
        <v>0</v>
      </c>
      <c r="AA45" s="1">
        <v>0</v>
      </c>
      <c r="AB45" s="1">
        <v>0</v>
      </c>
      <c r="AC45" s="1">
        <v>0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</row>
    <row r="46" spans="1:38" x14ac:dyDescent="0.25">
      <c r="A46" t="s">
        <v>71</v>
      </c>
      <c r="X46" s="1"/>
      <c r="Y46" s="1"/>
      <c r="Z46" s="1">
        <v>0</v>
      </c>
      <c r="AA46" s="1">
        <v>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0</v>
      </c>
      <c r="AH46" s="1">
        <v>0</v>
      </c>
      <c r="AI46" s="1">
        <v>0</v>
      </c>
      <c r="AJ46" s="1">
        <v>0</v>
      </c>
      <c r="AK46" s="1">
        <v>0</v>
      </c>
      <c r="AL46" s="1">
        <v>0</v>
      </c>
    </row>
    <row r="47" spans="1:38" x14ac:dyDescent="0.25">
      <c r="A47" t="s">
        <v>72</v>
      </c>
      <c r="X47" s="1"/>
      <c r="Y47" s="1"/>
      <c r="Z47" s="1">
        <v>0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>
        <v>0</v>
      </c>
      <c r="AJ47" s="1">
        <v>0</v>
      </c>
      <c r="AK47" s="1">
        <v>0</v>
      </c>
      <c r="AL47" s="1">
        <v>0</v>
      </c>
    </row>
    <row r="48" spans="1:38" x14ac:dyDescent="0.25">
      <c r="A48" t="s">
        <v>73</v>
      </c>
      <c r="X48" s="1"/>
      <c r="Y48" s="1"/>
      <c r="Z48" s="1">
        <v>0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>
        <v>0</v>
      </c>
      <c r="AJ48" s="1">
        <v>0</v>
      </c>
      <c r="AK48" s="1">
        <v>0</v>
      </c>
      <c r="AL48" s="1">
        <v>0</v>
      </c>
    </row>
    <row r="49" spans="1:38" x14ac:dyDescent="0.25">
      <c r="A49" t="s">
        <v>74</v>
      </c>
      <c r="X49" s="1"/>
      <c r="Y49" s="1"/>
      <c r="Z49" s="1">
        <v>0</v>
      </c>
      <c r="AA49" s="1">
        <v>0</v>
      </c>
      <c r="AB49" s="1">
        <v>0</v>
      </c>
      <c r="AC49" s="1">
        <v>0</v>
      </c>
      <c r="AD49" s="1">
        <v>0</v>
      </c>
      <c r="AE49" s="1">
        <v>0</v>
      </c>
      <c r="AF49" s="1">
        <v>0</v>
      </c>
      <c r="AG49" s="1">
        <v>0</v>
      </c>
      <c r="AH49" s="1">
        <v>0</v>
      </c>
      <c r="AI49" s="1">
        <v>0</v>
      </c>
      <c r="AJ49" s="1">
        <v>0</v>
      </c>
      <c r="AK49" s="1">
        <v>0</v>
      </c>
      <c r="AL49" s="1">
        <v>0</v>
      </c>
    </row>
    <row r="50" spans="1:38" x14ac:dyDescent="0.25">
      <c r="A50" t="s">
        <v>75</v>
      </c>
      <c r="X50" s="1"/>
      <c r="Y50" s="1"/>
      <c r="Z50" s="1">
        <v>0</v>
      </c>
      <c r="AA50" s="1">
        <v>0</v>
      </c>
      <c r="AB50" s="1">
        <v>0</v>
      </c>
      <c r="AC50" s="1">
        <v>0</v>
      </c>
      <c r="AD50" s="1">
        <v>0</v>
      </c>
      <c r="AE50" s="1">
        <v>0</v>
      </c>
      <c r="AF50" s="1">
        <v>0</v>
      </c>
      <c r="AG50" s="1">
        <v>0</v>
      </c>
      <c r="AH50" s="1">
        <v>0</v>
      </c>
      <c r="AI50" s="1">
        <v>0</v>
      </c>
      <c r="AJ50" s="1">
        <v>0</v>
      </c>
      <c r="AK50" s="1">
        <v>0</v>
      </c>
      <c r="AL50" s="1">
        <v>0</v>
      </c>
    </row>
    <row r="51" spans="1:38" x14ac:dyDescent="0.25">
      <c r="A51" t="s">
        <v>76</v>
      </c>
      <c r="X51" s="1"/>
      <c r="Y51" s="1"/>
      <c r="Z51" s="1">
        <v>0</v>
      </c>
      <c r="AA51" s="1">
        <v>0</v>
      </c>
      <c r="AB51" s="1">
        <v>0</v>
      </c>
      <c r="AC51" s="1">
        <v>0</v>
      </c>
      <c r="AD51" s="1">
        <v>0</v>
      </c>
      <c r="AE51" s="1">
        <v>0</v>
      </c>
      <c r="AF51" s="1">
        <v>0</v>
      </c>
      <c r="AG51" s="1">
        <v>0</v>
      </c>
      <c r="AH51" s="1">
        <v>0</v>
      </c>
      <c r="AI51" s="1">
        <v>0</v>
      </c>
      <c r="AJ51" s="1">
        <v>0</v>
      </c>
      <c r="AK51" s="1">
        <v>0</v>
      </c>
      <c r="AL51" s="1">
        <v>0</v>
      </c>
    </row>
    <row r="52" spans="1:38" x14ac:dyDescent="0.25">
      <c r="A52" t="s">
        <v>77</v>
      </c>
      <c r="W52" s="1"/>
      <c r="X52" s="1"/>
      <c r="Y52" s="1"/>
      <c r="Z52" s="1">
        <v>0</v>
      </c>
      <c r="AA52" s="1">
        <v>0</v>
      </c>
      <c r="AB52" s="1">
        <v>0</v>
      </c>
      <c r="AC52" s="1">
        <v>0</v>
      </c>
      <c r="AD52" s="1">
        <v>0</v>
      </c>
      <c r="AE52" s="1">
        <v>0</v>
      </c>
      <c r="AF52" s="1">
        <v>0</v>
      </c>
      <c r="AG52" s="1">
        <v>0</v>
      </c>
      <c r="AH52" s="1">
        <v>0</v>
      </c>
      <c r="AI52" s="1">
        <v>0</v>
      </c>
      <c r="AJ52" s="1">
        <v>0</v>
      </c>
      <c r="AK52" s="1">
        <v>0</v>
      </c>
      <c r="AL52" s="1">
        <v>0</v>
      </c>
    </row>
    <row r="53" spans="1:38" x14ac:dyDescent="0.25">
      <c r="A53" t="s">
        <v>78</v>
      </c>
      <c r="W53" s="1"/>
      <c r="X53" s="1"/>
      <c r="Y53" s="1"/>
      <c r="Z53" s="1">
        <v>0</v>
      </c>
      <c r="AA53" s="1">
        <v>0</v>
      </c>
      <c r="AB53" s="1">
        <v>0</v>
      </c>
      <c r="AC53" s="1">
        <v>0</v>
      </c>
      <c r="AD53" s="1">
        <v>0</v>
      </c>
      <c r="AE53" s="1">
        <v>0</v>
      </c>
      <c r="AF53" s="1">
        <v>0</v>
      </c>
      <c r="AG53" s="1">
        <v>0</v>
      </c>
      <c r="AH53" s="1">
        <v>0</v>
      </c>
      <c r="AI53" s="1">
        <v>0</v>
      </c>
      <c r="AJ53" s="1">
        <v>0</v>
      </c>
      <c r="AK53" s="1">
        <v>0</v>
      </c>
      <c r="AL53" s="1">
        <v>0</v>
      </c>
    </row>
    <row r="54" spans="1:38" x14ac:dyDescent="0.25">
      <c r="A54" t="s">
        <v>79</v>
      </c>
      <c r="W54" s="1"/>
      <c r="X54" s="1"/>
      <c r="Y54" s="1"/>
      <c r="Z54" s="1">
        <v>0</v>
      </c>
      <c r="AA54" s="1">
        <v>0</v>
      </c>
      <c r="AB54" s="1">
        <v>0</v>
      </c>
      <c r="AC54" s="1">
        <v>0</v>
      </c>
      <c r="AD54" s="1">
        <v>0</v>
      </c>
      <c r="AE54" s="1">
        <v>0</v>
      </c>
      <c r="AF54" s="1">
        <v>0</v>
      </c>
      <c r="AG54" s="1">
        <v>0</v>
      </c>
      <c r="AH54" s="1">
        <v>0</v>
      </c>
      <c r="AI54" s="1">
        <v>0</v>
      </c>
      <c r="AJ54" s="1">
        <v>0</v>
      </c>
      <c r="AK54" s="1">
        <v>0</v>
      </c>
      <c r="AL54" s="1">
        <v>0</v>
      </c>
    </row>
    <row r="55" spans="1:38" x14ac:dyDescent="0.25">
      <c r="A55" t="s">
        <v>80</v>
      </c>
      <c r="W55" s="1"/>
      <c r="X55" s="1"/>
      <c r="Y55" s="1"/>
      <c r="Z55" s="1">
        <v>0</v>
      </c>
      <c r="AA55" s="1">
        <v>0</v>
      </c>
      <c r="AB55" s="1">
        <v>0</v>
      </c>
      <c r="AC55" s="1">
        <v>0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</row>
    <row r="56" spans="1:38" x14ac:dyDescent="0.25">
      <c r="A56" t="s">
        <v>81</v>
      </c>
      <c r="W56" s="1"/>
      <c r="X56" s="1"/>
      <c r="Y56" s="1"/>
      <c r="Z56" s="1">
        <v>0</v>
      </c>
      <c r="AA56" s="1">
        <v>0</v>
      </c>
      <c r="AB56" s="1">
        <v>0</v>
      </c>
      <c r="AC56" s="1">
        <v>0</v>
      </c>
      <c r="AD56" s="1">
        <v>0</v>
      </c>
      <c r="AE56" s="1">
        <v>0</v>
      </c>
      <c r="AF56" s="1">
        <v>0</v>
      </c>
      <c r="AG56" s="1">
        <v>0</v>
      </c>
      <c r="AH56" s="1">
        <v>0</v>
      </c>
      <c r="AI56" s="1">
        <v>0</v>
      </c>
      <c r="AJ56" s="1">
        <v>0</v>
      </c>
      <c r="AK56" s="1">
        <v>0</v>
      </c>
      <c r="AL56" s="1">
        <v>0</v>
      </c>
    </row>
    <row r="57" spans="1:38" x14ac:dyDescent="0.25">
      <c r="A57" t="s">
        <v>83</v>
      </c>
      <c r="V57" s="1"/>
      <c r="W57" s="1"/>
      <c r="X57" s="1"/>
      <c r="Y57" s="1"/>
      <c r="Z57" s="1">
        <v>0</v>
      </c>
      <c r="AA57" s="1">
        <v>0</v>
      </c>
      <c r="AB57" s="1">
        <v>0</v>
      </c>
      <c r="AC57" s="1">
        <v>0</v>
      </c>
      <c r="AD57" s="1">
        <v>0</v>
      </c>
      <c r="AE57" s="1">
        <v>0</v>
      </c>
      <c r="AF57" s="1">
        <v>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0</v>
      </c>
    </row>
    <row r="58" spans="1:38" x14ac:dyDescent="0.25">
      <c r="A58" t="s">
        <v>84</v>
      </c>
      <c r="V58" s="1"/>
      <c r="W58" s="1"/>
      <c r="X58" s="1"/>
      <c r="Y58" s="1"/>
      <c r="Z58" s="1">
        <v>0</v>
      </c>
      <c r="AA58" s="1">
        <v>0</v>
      </c>
      <c r="AB58" s="1">
        <v>0</v>
      </c>
      <c r="AC58" s="1">
        <v>0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</row>
    <row r="59" spans="1:38" x14ac:dyDescent="0.25">
      <c r="A59" t="s">
        <v>85</v>
      </c>
      <c r="U59" s="1"/>
      <c r="V59" s="1"/>
      <c r="W59" s="1"/>
      <c r="X59" s="1"/>
      <c r="Y59" s="1"/>
      <c r="Z59" s="1">
        <v>0</v>
      </c>
      <c r="AA59" s="1">
        <v>0</v>
      </c>
      <c r="AB59" s="1">
        <v>0</v>
      </c>
      <c r="AC59" s="1">
        <v>0</v>
      </c>
      <c r="AD59" s="1">
        <v>0</v>
      </c>
      <c r="AE59" s="1">
        <v>0</v>
      </c>
      <c r="AF59" s="1">
        <v>0</v>
      </c>
      <c r="AG59" s="1">
        <v>0</v>
      </c>
      <c r="AH59" s="1">
        <v>0</v>
      </c>
      <c r="AI59" s="1">
        <v>0</v>
      </c>
      <c r="AJ59" s="1">
        <v>0</v>
      </c>
      <c r="AK59" s="1">
        <v>0</v>
      </c>
      <c r="AL59" s="1">
        <v>0</v>
      </c>
    </row>
    <row r="60" spans="1:38" x14ac:dyDescent="0.25">
      <c r="A60" t="s">
        <v>86</v>
      </c>
      <c r="U60" s="1"/>
      <c r="V60" s="1"/>
      <c r="W60" s="1"/>
      <c r="X60" s="1"/>
      <c r="Y60" s="1"/>
      <c r="Z60" s="1">
        <v>0</v>
      </c>
      <c r="AA60" s="1">
        <v>0</v>
      </c>
      <c r="AB60" s="1">
        <v>0</v>
      </c>
      <c r="AC60" s="1">
        <v>0</v>
      </c>
      <c r="AD60" s="1">
        <v>0</v>
      </c>
      <c r="AE60" s="1">
        <v>0</v>
      </c>
      <c r="AF60" s="1">
        <v>0</v>
      </c>
      <c r="AG60" s="1">
        <v>0</v>
      </c>
      <c r="AH60" s="1">
        <v>0</v>
      </c>
      <c r="AI60" s="1">
        <v>0</v>
      </c>
      <c r="AJ60" s="1">
        <v>0</v>
      </c>
      <c r="AK60" s="1">
        <v>0</v>
      </c>
      <c r="AL60" s="1">
        <v>0</v>
      </c>
    </row>
    <row r="61" spans="1:38" x14ac:dyDescent="0.25">
      <c r="A61" t="s">
        <v>87</v>
      </c>
      <c r="U61" s="1"/>
      <c r="V61" s="1"/>
      <c r="W61" s="1"/>
      <c r="X61" s="1"/>
      <c r="Y61" s="1"/>
      <c r="Z61" s="1">
        <v>0</v>
      </c>
      <c r="AA61" s="1">
        <v>0</v>
      </c>
      <c r="AB61" s="1">
        <v>0</v>
      </c>
      <c r="AC61" s="1">
        <v>0</v>
      </c>
      <c r="AD61" s="1">
        <v>0</v>
      </c>
      <c r="AE61" s="1">
        <v>0</v>
      </c>
      <c r="AF61" s="1">
        <v>0</v>
      </c>
      <c r="AG61" s="1">
        <v>0</v>
      </c>
      <c r="AH61" s="1">
        <v>0</v>
      </c>
      <c r="AI61" s="1">
        <v>0</v>
      </c>
      <c r="AJ61" s="1">
        <v>0</v>
      </c>
      <c r="AK61" s="1">
        <v>0</v>
      </c>
      <c r="AL61" s="1">
        <v>0</v>
      </c>
    </row>
    <row r="62" spans="1:38" x14ac:dyDescent="0.25">
      <c r="A62" t="s">
        <v>88</v>
      </c>
      <c r="U62" s="1"/>
      <c r="V62" s="1"/>
      <c r="W62" s="1"/>
      <c r="X62" s="1"/>
      <c r="Y62" s="1"/>
      <c r="Z62" s="1">
        <v>0</v>
      </c>
      <c r="AA62" s="1">
        <v>0</v>
      </c>
      <c r="AB62" s="1">
        <v>0</v>
      </c>
      <c r="AC62" s="1">
        <v>0</v>
      </c>
      <c r="AD62" s="1">
        <v>0</v>
      </c>
      <c r="AE62" s="1">
        <v>0</v>
      </c>
      <c r="AF62" s="1">
        <v>0</v>
      </c>
      <c r="AG62" s="1">
        <v>0</v>
      </c>
      <c r="AH62" s="1">
        <v>0</v>
      </c>
      <c r="AI62" s="1">
        <v>0</v>
      </c>
      <c r="AJ62" s="1">
        <v>0</v>
      </c>
      <c r="AK62" s="1">
        <v>0</v>
      </c>
      <c r="AL62" s="1">
        <v>0</v>
      </c>
    </row>
    <row r="63" spans="1:38" x14ac:dyDescent="0.25">
      <c r="A63" t="s">
        <v>89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 s="1">
        <v>0</v>
      </c>
      <c r="AL63" s="1">
        <v>0</v>
      </c>
    </row>
    <row r="64" spans="1:38" x14ac:dyDescent="0.25">
      <c r="A64" t="s">
        <v>90</v>
      </c>
      <c r="T64" s="1"/>
      <c r="U64" s="1"/>
      <c r="V64" s="1"/>
      <c r="W64" s="1"/>
      <c r="X64" s="1"/>
      <c r="Y64" s="1"/>
      <c r="Z64" s="1">
        <v>0</v>
      </c>
      <c r="AA64" s="1">
        <v>0</v>
      </c>
      <c r="AB64" s="1">
        <v>0</v>
      </c>
      <c r="AC64" s="1">
        <v>0</v>
      </c>
      <c r="AD64" s="1">
        <v>0</v>
      </c>
      <c r="AE64" s="1">
        <v>0</v>
      </c>
      <c r="AF64" s="1">
        <v>0</v>
      </c>
      <c r="AG64" s="1">
        <v>0</v>
      </c>
      <c r="AH64" s="1">
        <v>0</v>
      </c>
      <c r="AI64" s="1">
        <v>0</v>
      </c>
      <c r="AJ64" s="1">
        <v>0</v>
      </c>
      <c r="AK64" s="1">
        <v>0</v>
      </c>
      <c r="AL64" s="1">
        <v>0</v>
      </c>
    </row>
    <row r="65" spans="1:38" x14ac:dyDescent="0.25">
      <c r="A65" t="s">
        <v>91</v>
      </c>
      <c r="T65" s="1"/>
      <c r="U65" s="1"/>
      <c r="V65" s="1"/>
      <c r="W65" s="1"/>
      <c r="X65" s="1"/>
      <c r="Y65" s="1"/>
      <c r="Z65" s="1">
        <v>0</v>
      </c>
      <c r="AA65" s="1">
        <v>0</v>
      </c>
      <c r="AB65" s="1">
        <v>0</v>
      </c>
      <c r="AC65" s="1">
        <v>0</v>
      </c>
      <c r="AD65" s="1">
        <v>0</v>
      </c>
      <c r="AE65" s="1">
        <v>0</v>
      </c>
      <c r="AF65" s="1">
        <v>0</v>
      </c>
      <c r="AG65" s="1">
        <v>0</v>
      </c>
      <c r="AH65" s="1">
        <v>0</v>
      </c>
      <c r="AI65" s="1">
        <v>0</v>
      </c>
      <c r="AJ65" s="1">
        <v>0</v>
      </c>
      <c r="AK65" s="1">
        <v>0</v>
      </c>
      <c r="AL65" s="1">
        <v>0</v>
      </c>
    </row>
    <row r="66" spans="1:38" x14ac:dyDescent="0.25">
      <c r="A66" t="s">
        <v>92</v>
      </c>
      <c r="T66" s="1"/>
      <c r="U66" s="1"/>
      <c r="V66" s="1"/>
      <c r="W66" s="1"/>
      <c r="X66" s="1"/>
      <c r="Y66" s="1"/>
      <c r="Z66" s="1">
        <v>0</v>
      </c>
      <c r="AA66" s="1">
        <v>0</v>
      </c>
      <c r="AB66" s="1">
        <v>0</v>
      </c>
      <c r="AC66" s="1">
        <v>0</v>
      </c>
      <c r="AD66" s="1">
        <v>0</v>
      </c>
      <c r="AE66" s="1">
        <v>0</v>
      </c>
      <c r="AF66" s="1">
        <v>0</v>
      </c>
      <c r="AG66" s="1">
        <v>0</v>
      </c>
      <c r="AH66" s="1">
        <v>0</v>
      </c>
      <c r="AI66" s="1">
        <v>0</v>
      </c>
      <c r="AJ66" s="1">
        <v>0</v>
      </c>
      <c r="AK66" s="1">
        <v>0</v>
      </c>
      <c r="AL66" s="1">
        <v>0</v>
      </c>
    </row>
    <row r="67" spans="1:38" x14ac:dyDescent="0.25">
      <c r="A67" t="s">
        <v>93</v>
      </c>
      <c r="T67" s="1"/>
      <c r="U67" s="1"/>
      <c r="V67" s="1"/>
      <c r="W67" s="1"/>
      <c r="X67" s="1"/>
      <c r="Y67" s="1"/>
      <c r="Z67" s="1">
        <v>0</v>
      </c>
      <c r="AA67" s="1">
        <v>0</v>
      </c>
      <c r="AB67" s="1">
        <v>0</v>
      </c>
      <c r="AC67" s="1">
        <v>0</v>
      </c>
      <c r="AD67" s="1">
        <v>0</v>
      </c>
      <c r="AE67" s="1">
        <v>0</v>
      </c>
      <c r="AF67" s="1">
        <v>0</v>
      </c>
      <c r="AG67" s="1">
        <v>0</v>
      </c>
      <c r="AH67" s="1">
        <v>0</v>
      </c>
      <c r="AI67" s="1">
        <v>0</v>
      </c>
      <c r="AJ67" s="1">
        <v>0</v>
      </c>
      <c r="AK67" s="1">
        <v>0</v>
      </c>
      <c r="AL67" s="1">
        <v>0</v>
      </c>
    </row>
    <row r="68" spans="1:38" x14ac:dyDescent="0.25">
      <c r="A68" t="s">
        <v>94</v>
      </c>
      <c r="T68" s="1"/>
      <c r="U68" s="1"/>
      <c r="V68" s="1"/>
      <c r="W68" s="1"/>
      <c r="X68" s="1"/>
      <c r="Y68" s="1"/>
      <c r="Z68" s="1">
        <v>0</v>
      </c>
      <c r="AA68" s="1">
        <v>0</v>
      </c>
      <c r="AB68" s="1">
        <v>0</v>
      </c>
      <c r="AC68" s="1">
        <v>0</v>
      </c>
      <c r="AD68" s="1">
        <v>0</v>
      </c>
      <c r="AE68" s="1">
        <v>0</v>
      </c>
      <c r="AF68" s="1">
        <v>0</v>
      </c>
      <c r="AG68" s="1">
        <v>0</v>
      </c>
      <c r="AH68" s="1">
        <v>0</v>
      </c>
      <c r="AI68" s="1">
        <v>0</v>
      </c>
      <c r="AJ68" s="1">
        <v>0</v>
      </c>
      <c r="AK68" s="1">
        <v>0</v>
      </c>
      <c r="AL68" s="1">
        <v>0</v>
      </c>
    </row>
    <row r="69" spans="1:38" x14ac:dyDescent="0.25">
      <c r="A69" t="s">
        <v>95</v>
      </c>
      <c r="S69" s="1"/>
      <c r="T69" s="1"/>
      <c r="U69" s="1"/>
      <c r="V69" s="1"/>
      <c r="W69" s="1"/>
      <c r="X69" s="1"/>
      <c r="Y69" s="1"/>
      <c r="Z69" s="1">
        <v>0</v>
      </c>
      <c r="AA69" s="1">
        <v>0</v>
      </c>
      <c r="AB69" s="1">
        <v>0</v>
      </c>
      <c r="AC69" s="1">
        <v>0</v>
      </c>
      <c r="AD69" s="1">
        <v>0</v>
      </c>
      <c r="AE69" s="1">
        <v>0</v>
      </c>
      <c r="AF69" s="1">
        <v>0</v>
      </c>
      <c r="AG69" s="1">
        <v>0</v>
      </c>
      <c r="AH69" s="1">
        <v>0</v>
      </c>
      <c r="AI69" s="1">
        <v>0</v>
      </c>
      <c r="AJ69" s="1">
        <v>0</v>
      </c>
      <c r="AK69" s="1">
        <v>0</v>
      </c>
      <c r="AL69" s="1">
        <v>0</v>
      </c>
    </row>
    <row r="70" spans="1:38" x14ac:dyDescent="0.25">
      <c r="A70" t="s">
        <v>96</v>
      </c>
      <c r="S70" s="1"/>
      <c r="T70" s="1"/>
      <c r="U70" s="1"/>
      <c r="V70" s="1"/>
      <c r="W70" s="1"/>
      <c r="X70" s="1"/>
      <c r="Y70" s="1"/>
      <c r="Z70" s="1">
        <v>0</v>
      </c>
      <c r="AA70" s="1">
        <v>0</v>
      </c>
      <c r="AB70" s="1">
        <v>0</v>
      </c>
      <c r="AC70" s="1">
        <v>0</v>
      </c>
      <c r="AD70" s="1">
        <v>0</v>
      </c>
      <c r="AE70" s="1">
        <v>0</v>
      </c>
      <c r="AF70" s="1">
        <v>0</v>
      </c>
      <c r="AG70" s="1">
        <v>0</v>
      </c>
      <c r="AH70" s="1">
        <v>0</v>
      </c>
      <c r="AI70" s="1">
        <v>0</v>
      </c>
      <c r="AJ70" s="1">
        <v>0</v>
      </c>
      <c r="AK70" s="1">
        <v>0</v>
      </c>
      <c r="AL70" s="1">
        <v>0</v>
      </c>
    </row>
    <row r="71" spans="1:38" x14ac:dyDescent="0.25">
      <c r="A71" t="s">
        <v>97</v>
      </c>
      <c r="S71" s="1"/>
      <c r="T71" s="1"/>
      <c r="U71" s="1"/>
      <c r="V71" s="1"/>
      <c r="W71" s="1"/>
      <c r="X71" s="1"/>
      <c r="Y71" s="1"/>
      <c r="Z71" s="1">
        <v>0</v>
      </c>
      <c r="AA71" s="1">
        <v>0</v>
      </c>
      <c r="AB71" s="1">
        <v>0</v>
      </c>
      <c r="AC71" s="1">
        <v>0</v>
      </c>
      <c r="AD71" s="1">
        <v>0</v>
      </c>
      <c r="AE71" s="1">
        <v>0</v>
      </c>
      <c r="AF71" s="1">
        <v>0</v>
      </c>
      <c r="AG71" s="1">
        <v>0</v>
      </c>
      <c r="AH71" s="1">
        <v>0</v>
      </c>
      <c r="AI71" s="1">
        <v>0</v>
      </c>
      <c r="AJ71" s="1">
        <v>0</v>
      </c>
      <c r="AK71" s="1">
        <v>0</v>
      </c>
      <c r="AL71" s="1">
        <v>0</v>
      </c>
    </row>
    <row r="72" spans="1:38" x14ac:dyDescent="0.25">
      <c r="A72" t="s">
        <v>98</v>
      </c>
      <c r="S72" s="1"/>
      <c r="T72" s="1"/>
      <c r="U72" s="1"/>
      <c r="V72" s="1"/>
      <c r="W72" s="1"/>
      <c r="X72" s="1"/>
      <c r="Y72" s="1"/>
      <c r="Z72" s="1">
        <v>0</v>
      </c>
      <c r="AA72" s="1">
        <v>0</v>
      </c>
      <c r="AB72" s="1">
        <v>0</v>
      </c>
      <c r="AC72" s="1">
        <v>0</v>
      </c>
      <c r="AD72" s="1">
        <v>0</v>
      </c>
      <c r="AE72" s="1">
        <v>0</v>
      </c>
      <c r="AF72" s="1">
        <v>0</v>
      </c>
      <c r="AG72" s="1">
        <v>0</v>
      </c>
      <c r="AH72" s="1">
        <v>0</v>
      </c>
      <c r="AI72" s="1">
        <v>0</v>
      </c>
      <c r="AJ72" s="1">
        <v>0</v>
      </c>
      <c r="AK72" s="1">
        <v>0</v>
      </c>
      <c r="AL72" s="1">
        <v>0</v>
      </c>
    </row>
    <row r="73" spans="1:38" x14ac:dyDescent="0.25">
      <c r="A73" t="s">
        <v>99</v>
      </c>
      <c r="S73" s="1"/>
      <c r="T73" s="1"/>
      <c r="U73" s="1"/>
      <c r="V73" s="1"/>
      <c r="W73" s="1"/>
      <c r="X73" s="1"/>
      <c r="Y73" s="1"/>
      <c r="Z73" s="1">
        <v>0</v>
      </c>
      <c r="AA73" s="1">
        <v>0</v>
      </c>
      <c r="AB73" s="1">
        <v>0</v>
      </c>
      <c r="AC73" s="1">
        <v>0</v>
      </c>
      <c r="AD73" s="1">
        <v>0</v>
      </c>
      <c r="AE73" s="1">
        <v>0</v>
      </c>
      <c r="AF73" s="1">
        <v>0</v>
      </c>
      <c r="AG73" s="1">
        <v>0</v>
      </c>
      <c r="AH73" s="1">
        <v>0</v>
      </c>
      <c r="AI73" s="1">
        <v>0</v>
      </c>
      <c r="AJ73" s="1">
        <v>0</v>
      </c>
      <c r="AK73" s="1">
        <v>0</v>
      </c>
      <c r="AL73" s="1">
        <v>0</v>
      </c>
    </row>
    <row r="74" spans="1:38" x14ac:dyDescent="0.25">
      <c r="A74" t="s">
        <v>100</v>
      </c>
      <c r="R74" s="1"/>
      <c r="S74" s="1"/>
      <c r="T74" s="1"/>
      <c r="U74" s="1"/>
      <c r="V74" s="1"/>
      <c r="W74" s="1"/>
      <c r="X74" s="1"/>
      <c r="Y74" s="1"/>
      <c r="Z74" s="1">
        <v>0</v>
      </c>
      <c r="AA74" s="1">
        <v>0</v>
      </c>
      <c r="AB74" s="1">
        <v>0</v>
      </c>
      <c r="AC74" s="1">
        <v>0</v>
      </c>
      <c r="AD74" s="1">
        <v>0</v>
      </c>
      <c r="AE74" s="1">
        <v>0</v>
      </c>
      <c r="AF74" s="1">
        <v>0</v>
      </c>
      <c r="AG74" s="1">
        <v>0</v>
      </c>
      <c r="AH74" s="1">
        <v>0</v>
      </c>
      <c r="AI74" s="1">
        <v>0</v>
      </c>
      <c r="AJ74" s="1">
        <v>0</v>
      </c>
      <c r="AK74" s="1">
        <v>0</v>
      </c>
      <c r="AL74" s="1">
        <v>0</v>
      </c>
    </row>
    <row r="75" spans="1:38" x14ac:dyDescent="0.25">
      <c r="A75" t="s">
        <v>101</v>
      </c>
      <c r="R75" s="1"/>
      <c r="S75" s="1"/>
      <c r="T75" s="1"/>
      <c r="U75" s="1"/>
      <c r="V75" s="1"/>
      <c r="W75" s="1"/>
      <c r="X75" s="1"/>
      <c r="Y75" s="1"/>
      <c r="Z75" s="1">
        <v>0</v>
      </c>
      <c r="AA75" s="1">
        <v>0</v>
      </c>
      <c r="AB75" s="1">
        <v>0</v>
      </c>
      <c r="AC75" s="1">
        <v>0</v>
      </c>
      <c r="AD75" s="1">
        <v>0</v>
      </c>
      <c r="AE75" s="1">
        <v>0</v>
      </c>
      <c r="AF75" s="1">
        <v>0</v>
      </c>
      <c r="AG75" s="1">
        <v>0</v>
      </c>
      <c r="AH75" s="1">
        <v>0</v>
      </c>
      <c r="AI75" s="1">
        <v>0</v>
      </c>
      <c r="AJ75" s="1">
        <v>0</v>
      </c>
      <c r="AK75" s="1">
        <v>0</v>
      </c>
      <c r="AL75" s="1">
        <v>0</v>
      </c>
    </row>
    <row r="76" spans="1:38" x14ac:dyDescent="0.25">
      <c r="A76" t="s">
        <v>102</v>
      </c>
      <c r="Q76" s="1"/>
      <c r="R76" s="1"/>
      <c r="S76" s="1"/>
      <c r="T76" s="1"/>
      <c r="U76" s="1"/>
      <c r="V76" s="1"/>
      <c r="W76" s="1"/>
      <c r="X76" s="1"/>
      <c r="Y76" s="1"/>
      <c r="Z76" s="1">
        <v>0</v>
      </c>
      <c r="AA76" s="1">
        <v>0</v>
      </c>
      <c r="AB76" s="1">
        <v>0</v>
      </c>
      <c r="AC76" s="1">
        <v>0</v>
      </c>
      <c r="AD76" s="1">
        <v>0</v>
      </c>
      <c r="AE76" s="1">
        <v>0</v>
      </c>
      <c r="AF76" s="1">
        <v>0</v>
      </c>
      <c r="AG76" s="1">
        <v>0</v>
      </c>
      <c r="AH76" s="1">
        <v>0</v>
      </c>
      <c r="AI76" s="1">
        <v>0</v>
      </c>
      <c r="AJ76" s="1">
        <v>0</v>
      </c>
      <c r="AK76" s="1">
        <v>0</v>
      </c>
      <c r="AL76" s="1">
        <v>0</v>
      </c>
    </row>
    <row r="77" spans="1:38" x14ac:dyDescent="0.25">
      <c r="A77" t="s">
        <v>103</v>
      </c>
      <c r="Q77" s="1"/>
      <c r="R77" s="1"/>
      <c r="S77" s="1"/>
      <c r="T77" s="1"/>
      <c r="U77" s="1"/>
      <c r="V77" s="1"/>
      <c r="W77" s="1"/>
      <c r="X77" s="1"/>
      <c r="Y77" s="1"/>
      <c r="Z77" s="1">
        <v>0</v>
      </c>
      <c r="AA77" s="1">
        <v>0</v>
      </c>
      <c r="AB77" s="1">
        <v>0</v>
      </c>
      <c r="AC77" s="1">
        <v>0</v>
      </c>
      <c r="AD77" s="1">
        <v>0</v>
      </c>
      <c r="AE77" s="1">
        <v>0</v>
      </c>
      <c r="AF77" s="1">
        <v>0</v>
      </c>
      <c r="AG77" s="1">
        <v>0</v>
      </c>
      <c r="AH77" s="1">
        <v>0</v>
      </c>
      <c r="AI77" s="1">
        <v>0</v>
      </c>
      <c r="AJ77" s="1">
        <v>0</v>
      </c>
      <c r="AK77" s="1">
        <v>0</v>
      </c>
      <c r="AL77" s="1">
        <v>0</v>
      </c>
    </row>
    <row r="78" spans="1:38" x14ac:dyDescent="0.25">
      <c r="A78" t="s">
        <v>104</v>
      </c>
      <c r="Q78" s="1"/>
      <c r="R78" s="1"/>
      <c r="S78" s="1"/>
      <c r="T78" s="1"/>
      <c r="U78" s="1"/>
      <c r="V78" s="1"/>
      <c r="W78" s="1"/>
      <c r="X78" s="1"/>
      <c r="Y78" s="1"/>
      <c r="Z78" s="1">
        <v>0</v>
      </c>
      <c r="AA78" s="1">
        <v>0</v>
      </c>
      <c r="AB78" s="1">
        <v>0</v>
      </c>
      <c r="AC78" s="1">
        <v>0</v>
      </c>
      <c r="AD78" s="1">
        <v>0</v>
      </c>
      <c r="AE78" s="1">
        <v>0</v>
      </c>
      <c r="AF78" s="1">
        <v>0</v>
      </c>
      <c r="AG78" s="1">
        <v>0</v>
      </c>
      <c r="AH78" s="1">
        <v>0</v>
      </c>
      <c r="AI78" s="1">
        <v>0</v>
      </c>
      <c r="AJ78" s="1">
        <v>0</v>
      </c>
      <c r="AK78" s="1">
        <v>0</v>
      </c>
      <c r="AL78" s="1">
        <v>0</v>
      </c>
    </row>
    <row r="79" spans="1:38" x14ac:dyDescent="0.25">
      <c r="A79" t="s">
        <v>105</v>
      </c>
      <c r="Q79" s="1"/>
      <c r="R79" s="1"/>
      <c r="S79" s="1"/>
      <c r="T79" s="1"/>
      <c r="U79" s="1"/>
      <c r="V79" s="1"/>
      <c r="W79" s="1"/>
      <c r="X79" s="1"/>
      <c r="Y79" s="1"/>
      <c r="Z79" s="1">
        <v>0</v>
      </c>
      <c r="AA79" s="1">
        <v>0</v>
      </c>
      <c r="AB79" s="1">
        <v>0</v>
      </c>
      <c r="AC79" s="1">
        <v>0</v>
      </c>
      <c r="AD79" s="1">
        <v>0</v>
      </c>
      <c r="AE79" s="1">
        <v>0</v>
      </c>
      <c r="AF79" s="1">
        <v>0</v>
      </c>
      <c r="AG79" s="1">
        <v>0</v>
      </c>
      <c r="AH79" s="1">
        <v>0</v>
      </c>
      <c r="AI79" s="1">
        <v>0</v>
      </c>
      <c r="AJ79" s="1">
        <v>0</v>
      </c>
      <c r="AK79" s="1">
        <v>0</v>
      </c>
      <c r="AL79" s="1">
        <v>0</v>
      </c>
    </row>
    <row r="80" spans="1:38" x14ac:dyDescent="0.25">
      <c r="A80" t="s">
        <v>106</v>
      </c>
      <c r="Q80" s="1"/>
      <c r="R80" s="1"/>
      <c r="S80" s="1"/>
      <c r="T80" s="1"/>
      <c r="U80" s="1"/>
      <c r="V80" s="1"/>
      <c r="W80" s="1"/>
      <c r="X80" s="1"/>
      <c r="Y80" s="1"/>
      <c r="Z80" s="1">
        <v>0</v>
      </c>
      <c r="AA80" s="1">
        <v>0</v>
      </c>
      <c r="AB80" s="1">
        <v>0</v>
      </c>
      <c r="AC80" s="1">
        <v>0</v>
      </c>
      <c r="AD80" s="1">
        <v>0</v>
      </c>
      <c r="AE80" s="1">
        <v>0</v>
      </c>
      <c r="AF80" s="1">
        <v>0</v>
      </c>
      <c r="AG80" s="1">
        <v>0</v>
      </c>
      <c r="AH80" s="1">
        <v>0</v>
      </c>
      <c r="AI80" s="1">
        <v>0</v>
      </c>
      <c r="AJ80" s="1">
        <v>0</v>
      </c>
      <c r="AK80" s="1">
        <v>0</v>
      </c>
      <c r="AL80" s="1">
        <v>0</v>
      </c>
    </row>
    <row r="81" spans="1:38" x14ac:dyDescent="0.25">
      <c r="A81" t="s">
        <v>107</v>
      </c>
      <c r="P81" s="1"/>
      <c r="Q81" s="1"/>
      <c r="R81" s="1"/>
      <c r="S81" s="1"/>
      <c r="T81" s="1"/>
      <c r="U81" s="1"/>
      <c r="V81" s="1"/>
      <c r="W81" s="1"/>
      <c r="X81" s="1"/>
      <c r="Y81" s="1"/>
      <c r="Z81" s="1">
        <v>0</v>
      </c>
      <c r="AA81" s="1">
        <v>0</v>
      </c>
      <c r="AB81" s="1">
        <v>0</v>
      </c>
      <c r="AC81" s="1">
        <v>0</v>
      </c>
      <c r="AD81" s="1">
        <v>0</v>
      </c>
      <c r="AE81" s="1">
        <v>0</v>
      </c>
      <c r="AF81" s="1">
        <v>0</v>
      </c>
      <c r="AG81" s="1">
        <v>0</v>
      </c>
      <c r="AH81" s="1">
        <v>0</v>
      </c>
      <c r="AI81" s="1">
        <v>0</v>
      </c>
      <c r="AJ81" s="1">
        <v>0</v>
      </c>
      <c r="AK81" s="1">
        <v>0</v>
      </c>
      <c r="AL81" s="1">
        <v>0</v>
      </c>
    </row>
    <row r="82" spans="1:38" x14ac:dyDescent="0.25">
      <c r="A82" t="s">
        <v>108</v>
      </c>
      <c r="P82" s="1"/>
      <c r="Q82" s="1"/>
      <c r="R82" s="1"/>
      <c r="S82" s="1"/>
      <c r="T82" s="1"/>
      <c r="U82" s="1"/>
      <c r="V82" s="1"/>
      <c r="W82" s="1"/>
      <c r="X82" s="1"/>
      <c r="Y82" s="1"/>
      <c r="Z82" s="1">
        <v>0</v>
      </c>
      <c r="AA82" s="1">
        <v>0</v>
      </c>
      <c r="AB82" s="1">
        <v>0</v>
      </c>
      <c r="AC82" s="1">
        <v>0</v>
      </c>
      <c r="AD82" s="1">
        <v>0</v>
      </c>
      <c r="AE82" s="1">
        <v>0</v>
      </c>
      <c r="AF82" s="1">
        <v>0</v>
      </c>
      <c r="AG82" s="1">
        <v>0</v>
      </c>
      <c r="AH82" s="1">
        <v>0</v>
      </c>
      <c r="AI82" s="1">
        <v>0</v>
      </c>
      <c r="AJ82" s="1">
        <v>0</v>
      </c>
      <c r="AK82" s="1">
        <v>0</v>
      </c>
      <c r="AL82" s="1">
        <v>0</v>
      </c>
    </row>
    <row r="83" spans="1:38" x14ac:dyDescent="0.25">
      <c r="A83" t="s">
        <v>109</v>
      </c>
      <c r="P83" s="1"/>
      <c r="Q83" s="1"/>
      <c r="R83" s="1"/>
      <c r="S83" s="1"/>
      <c r="T83" s="1"/>
      <c r="U83" s="1"/>
      <c r="V83" s="1"/>
      <c r="W83" s="1"/>
      <c r="X83" s="1"/>
      <c r="Y83" s="1"/>
      <c r="Z83" s="1">
        <v>0</v>
      </c>
      <c r="AA83" s="1">
        <v>0</v>
      </c>
      <c r="AB83" s="1">
        <v>0</v>
      </c>
      <c r="AC83" s="1">
        <v>0</v>
      </c>
      <c r="AD83" s="1">
        <v>0</v>
      </c>
      <c r="AE83" s="1">
        <v>0</v>
      </c>
      <c r="AF83" s="1">
        <v>0</v>
      </c>
      <c r="AG83" s="1">
        <v>0</v>
      </c>
      <c r="AH83" s="1">
        <v>0</v>
      </c>
      <c r="AI83" s="1">
        <v>0</v>
      </c>
      <c r="AJ83" s="1">
        <v>0</v>
      </c>
      <c r="AK83" s="1">
        <v>0</v>
      </c>
      <c r="AL83" s="1">
        <v>0</v>
      </c>
    </row>
    <row r="84" spans="1:38" x14ac:dyDescent="0.25">
      <c r="A84" t="s">
        <v>110</v>
      </c>
      <c r="P84" s="1"/>
      <c r="Q84" s="1"/>
      <c r="R84" s="1"/>
      <c r="S84" s="1"/>
      <c r="T84" s="1"/>
      <c r="U84" s="1"/>
      <c r="V84" s="1"/>
      <c r="W84" s="1"/>
      <c r="X84" s="1"/>
      <c r="Y84" s="1"/>
      <c r="Z84" s="1">
        <v>0</v>
      </c>
      <c r="AA84" s="1">
        <v>0</v>
      </c>
      <c r="AB84" s="1">
        <v>0</v>
      </c>
      <c r="AC84" s="1">
        <v>0</v>
      </c>
      <c r="AD84" s="1">
        <v>0</v>
      </c>
      <c r="AE84" s="1">
        <v>0</v>
      </c>
      <c r="AF84" s="1">
        <v>0</v>
      </c>
      <c r="AG84" s="1">
        <v>0</v>
      </c>
      <c r="AH84" s="1">
        <v>0</v>
      </c>
      <c r="AI84" s="1">
        <v>0</v>
      </c>
      <c r="AJ84" s="1">
        <v>0</v>
      </c>
      <c r="AK84" s="1">
        <v>0</v>
      </c>
      <c r="AL84" s="1">
        <v>0</v>
      </c>
    </row>
    <row r="85" spans="1:38" x14ac:dyDescent="0.25">
      <c r="A85" t="s">
        <v>111</v>
      </c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>
        <v>0</v>
      </c>
      <c r="AA85" s="1">
        <v>0</v>
      </c>
      <c r="AB85" s="1">
        <v>0</v>
      </c>
      <c r="AC85" s="1">
        <v>0</v>
      </c>
      <c r="AD85" s="1">
        <v>0</v>
      </c>
      <c r="AE85" s="1">
        <v>0</v>
      </c>
      <c r="AF85" s="1">
        <v>0</v>
      </c>
      <c r="AG85" s="1">
        <v>0</v>
      </c>
      <c r="AH85" s="1">
        <v>0</v>
      </c>
      <c r="AI85" s="1">
        <v>0</v>
      </c>
      <c r="AJ85" s="1">
        <v>0</v>
      </c>
      <c r="AK85" s="1">
        <v>0</v>
      </c>
      <c r="AL85" s="1">
        <v>0</v>
      </c>
    </row>
    <row r="86" spans="1:38" x14ac:dyDescent="0.25">
      <c r="A86" t="s">
        <v>112</v>
      </c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>
        <v>0</v>
      </c>
      <c r="AA86" s="1">
        <v>0</v>
      </c>
      <c r="AB86" s="1">
        <v>0</v>
      </c>
      <c r="AC86" s="1">
        <v>0</v>
      </c>
      <c r="AD86" s="1">
        <v>0</v>
      </c>
      <c r="AE86" s="1">
        <v>0</v>
      </c>
      <c r="AF86" s="1">
        <v>0</v>
      </c>
      <c r="AG86" s="1">
        <v>0</v>
      </c>
      <c r="AH86" s="1">
        <v>0</v>
      </c>
      <c r="AI86" s="1">
        <v>0</v>
      </c>
      <c r="AJ86" s="1">
        <v>0</v>
      </c>
      <c r="AK86" s="1">
        <v>0</v>
      </c>
      <c r="AL86" s="1">
        <v>0</v>
      </c>
    </row>
    <row r="87" spans="1:38" x14ac:dyDescent="0.25">
      <c r="A87" t="s">
        <v>113</v>
      </c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>
        <v>0</v>
      </c>
      <c r="AA87" s="1">
        <v>0</v>
      </c>
      <c r="AB87" s="1">
        <v>0</v>
      </c>
      <c r="AC87" s="1">
        <v>0</v>
      </c>
      <c r="AD87" s="1">
        <v>0</v>
      </c>
      <c r="AE87" s="1">
        <v>0</v>
      </c>
      <c r="AF87" s="1">
        <v>0</v>
      </c>
      <c r="AG87" s="1">
        <v>0</v>
      </c>
      <c r="AH87" s="1">
        <v>0</v>
      </c>
      <c r="AI87" s="1">
        <v>0</v>
      </c>
      <c r="AJ87" s="1">
        <v>0</v>
      </c>
      <c r="AK87" s="1">
        <v>0</v>
      </c>
      <c r="AL87" s="1">
        <v>0</v>
      </c>
    </row>
    <row r="88" spans="1:38" x14ac:dyDescent="0.25">
      <c r="A88" t="s">
        <v>114</v>
      </c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>
        <v>0</v>
      </c>
      <c r="AA88" s="1">
        <v>0</v>
      </c>
      <c r="AB88" s="1">
        <v>0</v>
      </c>
      <c r="AC88" s="1">
        <v>0</v>
      </c>
      <c r="AD88" s="1">
        <v>0</v>
      </c>
      <c r="AE88" s="1">
        <v>0</v>
      </c>
      <c r="AF88" s="1">
        <v>0</v>
      </c>
      <c r="AG88" s="1">
        <v>0</v>
      </c>
      <c r="AH88" s="1">
        <v>0</v>
      </c>
      <c r="AI88" s="1">
        <v>0</v>
      </c>
      <c r="AJ88" s="1">
        <v>0</v>
      </c>
      <c r="AK88" s="1">
        <v>0</v>
      </c>
      <c r="AL88" s="1">
        <v>0</v>
      </c>
    </row>
    <row r="89" spans="1:38" x14ac:dyDescent="0.25">
      <c r="A89" t="s">
        <v>115</v>
      </c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>
        <v>0</v>
      </c>
      <c r="AA89" s="1">
        <v>0</v>
      </c>
      <c r="AB89" s="1">
        <v>0</v>
      </c>
      <c r="AC89" s="1">
        <v>0</v>
      </c>
      <c r="AD89" s="1">
        <v>0</v>
      </c>
      <c r="AE89" s="1">
        <v>0</v>
      </c>
      <c r="AF89" s="1">
        <v>0</v>
      </c>
      <c r="AG89" s="1">
        <v>0</v>
      </c>
      <c r="AH89" s="1">
        <v>0</v>
      </c>
      <c r="AI89" s="1">
        <v>0</v>
      </c>
      <c r="AJ89" s="1">
        <v>0</v>
      </c>
      <c r="AK89" s="1">
        <v>0</v>
      </c>
      <c r="AL89" s="1">
        <v>0</v>
      </c>
    </row>
    <row r="90" spans="1:38" x14ac:dyDescent="0.25">
      <c r="A90" t="s">
        <v>116</v>
      </c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>
        <v>0</v>
      </c>
      <c r="AA90" s="1">
        <v>0</v>
      </c>
      <c r="AB90" s="1">
        <v>0</v>
      </c>
      <c r="AC90" s="1">
        <v>0</v>
      </c>
      <c r="AD90" s="1">
        <v>0</v>
      </c>
      <c r="AE90" s="1">
        <v>0</v>
      </c>
      <c r="AF90" s="1">
        <v>0</v>
      </c>
      <c r="AG90" s="1">
        <v>0</v>
      </c>
      <c r="AH90" s="1">
        <v>0</v>
      </c>
      <c r="AI90" s="1">
        <v>0</v>
      </c>
      <c r="AJ90" s="1">
        <v>0</v>
      </c>
      <c r="AK90" s="1">
        <v>0</v>
      </c>
      <c r="AL90" s="1">
        <v>0</v>
      </c>
    </row>
    <row r="91" spans="1:38" x14ac:dyDescent="0.25">
      <c r="A91" t="s">
        <v>117</v>
      </c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>
        <v>0</v>
      </c>
      <c r="AA91" s="1">
        <v>0</v>
      </c>
      <c r="AB91" s="1">
        <v>0</v>
      </c>
      <c r="AC91" s="1">
        <v>0</v>
      </c>
      <c r="AD91" s="1">
        <v>0</v>
      </c>
      <c r="AE91" s="1">
        <v>0</v>
      </c>
      <c r="AF91" s="1">
        <v>0</v>
      </c>
      <c r="AG91" s="1">
        <v>0</v>
      </c>
      <c r="AH91" s="1">
        <v>0</v>
      </c>
      <c r="AI91" s="1">
        <v>0</v>
      </c>
      <c r="AJ91" s="1">
        <v>0</v>
      </c>
      <c r="AK91" s="1">
        <v>0</v>
      </c>
      <c r="AL91" s="1">
        <v>0</v>
      </c>
    </row>
    <row r="92" spans="1:38" x14ac:dyDescent="0.25">
      <c r="A92" t="s">
        <v>118</v>
      </c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>
        <v>0</v>
      </c>
      <c r="AA92" s="1">
        <v>0</v>
      </c>
      <c r="AB92" s="1">
        <v>0</v>
      </c>
      <c r="AC92" s="1">
        <v>0</v>
      </c>
      <c r="AD92" s="1">
        <v>0</v>
      </c>
      <c r="AE92" s="1">
        <v>0</v>
      </c>
      <c r="AF92" s="1">
        <v>0</v>
      </c>
      <c r="AG92" s="1">
        <v>0</v>
      </c>
      <c r="AH92" s="1">
        <v>0</v>
      </c>
      <c r="AI92" s="1">
        <v>0</v>
      </c>
      <c r="AJ92" s="1">
        <v>0</v>
      </c>
      <c r="AK92" s="1">
        <v>0</v>
      </c>
      <c r="AL92" s="1">
        <v>0</v>
      </c>
    </row>
    <row r="93" spans="1:38" x14ac:dyDescent="0.25">
      <c r="A93" t="s">
        <v>119</v>
      </c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>
        <v>0</v>
      </c>
      <c r="AA93" s="1">
        <v>0</v>
      </c>
      <c r="AB93" s="1">
        <v>0</v>
      </c>
      <c r="AC93" s="1">
        <v>0</v>
      </c>
      <c r="AD93" s="1">
        <v>0</v>
      </c>
      <c r="AE93" s="1">
        <v>0</v>
      </c>
      <c r="AF93" s="1">
        <v>0</v>
      </c>
      <c r="AG93" s="1">
        <v>0</v>
      </c>
      <c r="AH93" s="1">
        <v>0</v>
      </c>
      <c r="AI93" s="1">
        <v>0</v>
      </c>
      <c r="AJ93" s="1">
        <v>0</v>
      </c>
      <c r="AK93" s="1">
        <v>0</v>
      </c>
      <c r="AL93" s="1">
        <v>0</v>
      </c>
    </row>
    <row r="94" spans="1:38" x14ac:dyDescent="0.25">
      <c r="A94" t="s">
        <v>120</v>
      </c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>
        <v>0</v>
      </c>
      <c r="AA94" s="1">
        <v>0</v>
      </c>
      <c r="AB94" s="1">
        <v>0</v>
      </c>
      <c r="AC94" s="1">
        <v>0</v>
      </c>
      <c r="AD94" s="1">
        <v>0</v>
      </c>
      <c r="AE94" s="1">
        <v>0</v>
      </c>
      <c r="AF94" s="1">
        <v>0</v>
      </c>
      <c r="AG94" s="1">
        <v>0</v>
      </c>
      <c r="AH94" s="1">
        <v>0</v>
      </c>
      <c r="AI94" s="1">
        <v>0</v>
      </c>
      <c r="AJ94" s="1">
        <v>0</v>
      </c>
      <c r="AK94" s="1">
        <v>0</v>
      </c>
      <c r="AL94" s="1">
        <v>0</v>
      </c>
    </row>
    <row r="95" spans="1:38" x14ac:dyDescent="0.25">
      <c r="A95" t="s">
        <v>121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>
        <v>0</v>
      </c>
      <c r="AA95" s="1">
        <v>0</v>
      </c>
      <c r="AB95" s="1">
        <v>0</v>
      </c>
      <c r="AC95" s="1">
        <v>0</v>
      </c>
      <c r="AD95" s="1">
        <v>0</v>
      </c>
      <c r="AE95" s="1">
        <v>0</v>
      </c>
      <c r="AF95" s="1">
        <v>0</v>
      </c>
      <c r="AG95" s="1">
        <v>0</v>
      </c>
      <c r="AH95" s="1">
        <v>0</v>
      </c>
      <c r="AI95" s="1">
        <v>0</v>
      </c>
      <c r="AJ95" s="1">
        <v>0</v>
      </c>
      <c r="AK95" s="1">
        <v>0</v>
      </c>
      <c r="AL95" s="1">
        <v>0</v>
      </c>
    </row>
    <row r="96" spans="1:38" x14ac:dyDescent="0.25">
      <c r="A96" t="s">
        <v>122</v>
      </c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>
        <v>0</v>
      </c>
      <c r="AA96" s="1">
        <v>0</v>
      </c>
      <c r="AB96" s="1">
        <v>0</v>
      </c>
      <c r="AC96" s="1">
        <v>0</v>
      </c>
      <c r="AD96" s="1">
        <v>0</v>
      </c>
      <c r="AE96" s="1">
        <v>0</v>
      </c>
      <c r="AF96" s="1">
        <v>0</v>
      </c>
      <c r="AG96" s="1">
        <v>0</v>
      </c>
      <c r="AH96" s="1">
        <v>0</v>
      </c>
      <c r="AI96" s="1">
        <v>0</v>
      </c>
      <c r="AJ96" s="1">
        <v>0</v>
      </c>
      <c r="AK96" s="1">
        <v>0</v>
      </c>
      <c r="AL96" s="1">
        <v>0</v>
      </c>
    </row>
    <row r="97" spans="1:38" x14ac:dyDescent="0.25">
      <c r="A97" t="s">
        <v>123</v>
      </c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>
        <v>0</v>
      </c>
      <c r="AA97" s="1">
        <v>0</v>
      </c>
      <c r="AB97" s="1">
        <v>0</v>
      </c>
      <c r="AC97" s="1">
        <v>0</v>
      </c>
      <c r="AD97" s="1">
        <v>0</v>
      </c>
      <c r="AE97" s="1">
        <v>0</v>
      </c>
      <c r="AF97" s="1">
        <v>0</v>
      </c>
      <c r="AG97" s="1">
        <v>0</v>
      </c>
      <c r="AH97" s="1">
        <v>0</v>
      </c>
      <c r="AI97" s="1">
        <v>0</v>
      </c>
      <c r="AJ97" s="1">
        <v>0</v>
      </c>
      <c r="AK97" s="1">
        <v>0</v>
      </c>
      <c r="AL97" s="1">
        <v>0</v>
      </c>
    </row>
    <row r="98" spans="1:38" x14ac:dyDescent="0.25">
      <c r="A98" t="s">
        <v>124</v>
      </c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>
        <v>0</v>
      </c>
      <c r="AA98" s="1">
        <v>0</v>
      </c>
      <c r="AB98" s="1">
        <v>0</v>
      </c>
      <c r="AC98" s="1">
        <v>0</v>
      </c>
      <c r="AD98" s="1">
        <v>0</v>
      </c>
      <c r="AE98" s="1">
        <v>0</v>
      </c>
      <c r="AF98" s="1">
        <v>0</v>
      </c>
      <c r="AG98" s="1">
        <v>0</v>
      </c>
      <c r="AH98" s="1">
        <v>0</v>
      </c>
      <c r="AI98" s="1">
        <v>0</v>
      </c>
      <c r="AJ98" s="1">
        <v>0</v>
      </c>
      <c r="AK98" s="1">
        <v>0</v>
      </c>
      <c r="AL98" s="1">
        <v>0</v>
      </c>
    </row>
    <row r="99" spans="1:38" x14ac:dyDescent="0.25">
      <c r="A99" t="s">
        <v>125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>
        <v>0</v>
      </c>
      <c r="AA99" s="1">
        <v>0</v>
      </c>
      <c r="AB99" s="1">
        <v>0</v>
      </c>
      <c r="AC99" s="1">
        <v>0</v>
      </c>
      <c r="AD99" s="1">
        <v>0</v>
      </c>
      <c r="AE99" s="1">
        <v>0</v>
      </c>
      <c r="AF99" s="1">
        <v>0</v>
      </c>
      <c r="AG99" s="1">
        <v>0</v>
      </c>
      <c r="AH99" s="1">
        <v>0</v>
      </c>
      <c r="AI99" s="1">
        <v>0</v>
      </c>
      <c r="AJ99" s="1">
        <v>0</v>
      </c>
      <c r="AK99" s="1">
        <v>0</v>
      </c>
      <c r="AL99" s="1">
        <v>0</v>
      </c>
    </row>
    <row r="100" spans="1:38" x14ac:dyDescent="0.25">
      <c r="A100" t="s">
        <v>126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>
        <v>0</v>
      </c>
      <c r="AA100" s="1">
        <v>0</v>
      </c>
      <c r="AB100" s="1">
        <v>0</v>
      </c>
      <c r="AC100" s="1">
        <v>0</v>
      </c>
      <c r="AD100" s="1">
        <v>0</v>
      </c>
      <c r="AE100" s="1">
        <v>0</v>
      </c>
      <c r="AF100" s="1">
        <v>0</v>
      </c>
      <c r="AG100" s="1">
        <v>0</v>
      </c>
      <c r="AH100" s="1">
        <v>0</v>
      </c>
      <c r="AI100" s="1">
        <v>0</v>
      </c>
      <c r="AJ100" s="1">
        <v>0</v>
      </c>
      <c r="AK100" s="1">
        <v>0</v>
      </c>
      <c r="AL100" s="1">
        <v>0</v>
      </c>
    </row>
    <row r="101" spans="1:38" x14ac:dyDescent="0.25">
      <c r="A101" t="s">
        <v>127</v>
      </c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>
        <v>0</v>
      </c>
      <c r="AA101" s="1">
        <v>0</v>
      </c>
      <c r="AB101" s="1">
        <v>0</v>
      </c>
      <c r="AC101" s="1">
        <v>0</v>
      </c>
      <c r="AD101" s="1">
        <v>0</v>
      </c>
      <c r="AE101" s="1">
        <v>0</v>
      </c>
      <c r="AF101" s="1">
        <v>0</v>
      </c>
      <c r="AG101" s="1">
        <v>0</v>
      </c>
      <c r="AH101" s="1">
        <v>0</v>
      </c>
      <c r="AI101" s="1">
        <v>0</v>
      </c>
      <c r="AJ101" s="1">
        <v>0</v>
      </c>
      <c r="AK101" s="1">
        <v>0</v>
      </c>
      <c r="AL101" s="1">
        <v>0</v>
      </c>
    </row>
    <row r="102" spans="1:38" x14ac:dyDescent="0.25">
      <c r="A102" t="s">
        <v>128</v>
      </c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>
        <v>0</v>
      </c>
      <c r="AA102" s="1">
        <v>0</v>
      </c>
      <c r="AB102" s="1">
        <v>0</v>
      </c>
      <c r="AC102" s="1">
        <v>0</v>
      </c>
      <c r="AD102" s="1">
        <v>0</v>
      </c>
      <c r="AE102" s="1">
        <v>0</v>
      </c>
      <c r="AF102" s="1">
        <v>0</v>
      </c>
      <c r="AG102" s="1">
        <v>0</v>
      </c>
      <c r="AH102" s="1">
        <v>0</v>
      </c>
      <c r="AI102" s="1">
        <v>0</v>
      </c>
      <c r="AJ102" s="1">
        <v>0</v>
      </c>
      <c r="AK102" s="1">
        <v>0</v>
      </c>
      <c r="AL102" s="1">
        <v>0</v>
      </c>
    </row>
    <row r="103" spans="1:38" x14ac:dyDescent="0.25">
      <c r="A103" t="s">
        <v>129</v>
      </c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>
        <v>0</v>
      </c>
      <c r="AA103" s="1">
        <v>0</v>
      </c>
      <c r="AB103" s="1">
        <v>0</v>
      </c>
      <c r="AC103" s="1">
        <v>0</v>
      </c>
      <c r="AD103" s="1">
        <v>0</v>
      </c>
      <c r="AE103" s="1">
        <v>0</v>
      </c>
      <c r="AF103" s="1">
        <v>0</v>
      </c>
      <c r="AG103" s="1">
        <v>0</v>
      </c>
      <c r="AH103" s="1">
        <v>0</v>
      </c>
      <c r="AI103" s="1">
        <v>0</v>
      </c>
      <c r="AJ103" s="1">
        <v>0</v>
      </c>
      <c r="AK103" s="1">
        <v>0</v>
      </c>
      <c r="AL103" s="1">
        <v>0</v>
      </c>
    </row>
    <row r="104" spans="1:38" x14ac:dyDescent="0.25">
      <c r="A104" t="s">
        <v>130</v>
      </c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>
        <v>0</v>
      </c>
      <c r="AA104" s="1">
        <v>0</v>
      </c>
      <c r="AB104" s="1">
        <v>0</v>
      </c>
      <c r="AC104" s="1">
        <v>0</v>
      </c>
      <c r="AD104" s="1">
        <v>0</v>
      </c>
      <c r="AE104" s="1">
        <v>0</v>
      </c>
      <c r="AF104" s="1">
        <v>0</v>
      </c>
      <c r="AG104" s="1">
        <v>0</v>
      </c>
      <c r="AH104" s="1">
        <v>0</v>
      </c>
      <c r="AI104" s="1">
        <v>0</v>
      </c>
      <c r="AJ104" s="1">
        <v>0</v>
      </c>
      <c r="AK104" s="1">
        <v>0</v>
      </c>
      <c r="AL104" s="1">
        <v>0</v>
      </c>
    </row>
    <row r="105" spans="1:38" x14ac:dyDescent="0.25">
      <c r="A105" t="s">
        <v>131</v>
      </c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>
        <v>0</v>
      </c>
      <c r="AA105" s="1">
        <v>0</v>
      </c>
      <c r="AB105" s="1">
        <v>0</v>
      </c>
      <c r="AC105" s="1">
        <v>0</v>
      </c>
      <c r="AD105" s="1">
        <v>0</v>
      </c>
      <c r="AE105" s="1">
        <v>0</v>
      </c>
      <c r="AF105" s="1">
        <v>0</v>
      </c>
      <c r="AG105" s="1">
        <v>0</v>
      </c>
      <c r="AH105" s="1">
        <v>0</v>
      </c>
      <c r="AI105" s="1">
        <v>0</v>
      </c>
      <c r="AJ105" s="1">
        <v>0</v>
      </c>
      <c r="AK105" s="1">
        <v>0</v>
      </c>
      <c r="AL105" s="1">
        <v>0</v>
      </c>
    </row>
    <row r="106" spans="1:38" x14ac:dyDescent="0.25">
      <c r="A106" t="s">
        <v>132</v>
      </c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>
        <v>0</v>
      </c>
      <c r="AA106" s="1">
        <v>0</v>
      </c>
      <c r="AB106" s="1">
        <v>0</v>
      </c>
      <c r="AC106" s="1">
        <v>0</v>
      </c>
      <c r="AD106" s="1">
        <v>0</v>
      </c>
      <c r="AE106" s="1">
        <v>0</v>
      </c>
      <c r="AF106" s="1">
        <v>0</v>
      </c>
      <c r="AG106" s="1">
        <v>0</v>
      </c>
      <c r="AH106" s="1">
        <v>0</v>
      </c>
      <c r="AI106" s="1">
        <v>0</v>
      </c>
      <c r="AJ106" s="1">
        <v>0</v>
      </c>
      <c r="AK106" s="1">
        <v>0</v>
      </c>
      <c r="AL106" s="1">
        <v>0</v>
      </c>
    </row>
    <row r="107" spans="1:38" x14ac:dyDescent="0.25">
      <c r="A107" t="s">
        <v>133</v>
      </c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>
        <v>0</v>
      </c>
      <c r="AA107" s="1">
        <v>0</v>
      </c>
      <c r="AB107" s="1">
        <v>0</v>
      </c>
      <c r="AC107" s="1">
        <v>0</v>
      </c>
      <c r="AD107" s="1">
        <v>0</v>
      </c>
      <c r="AE107" s="1">
        <v>0</v>
      </c>
      <c r="AF107" s="1">
        <v>0</v>
      </c>
      <c r="AG107" s="1">
        <v>0</v>
      </c>
      <c r="AH107" s="1">
        <v>0</v>
      </c>
      <c r="AI107" s="1">
        <v>0</v>
      </c>
      <c r="AJ107" s="1">
        <v>0</v>
      </c>
      <c r="AK107" s="1">
        <v>0</v>
      </c>
      <c r="AL107" s="1">
        <v>0</v>
      </c>
    </row>
    <row r="108" spans="1:38" x14ac:dyDescent="0.25">
      <c r="A108" t="s">
        <v>134</v>
      </c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>
        <v>0</v>
      </c>
      <c r="AA108" s="1">
        <v>0</v>
      </c>
      <c r="AB108" s="1">
        <v>0</v>
      </c>
      <c r="AC108" s="1">
        <v>0</v>
      </c>
      <c r="AD108" s="1">
        <v>0</v>
      </c>
      <c r="AE108" s="1">
        <v>0</v>
      </c>
      <c r="AF108" s="1">
        <v>0</v>
      </c>
      <c r="AG108" s="1">
        <v>0</v>
      </c>
      <c r="AH108" s="1">
        <v>0</v>
      </c>
      <c r="AI108" s="1">
        <v>0</v>
      </c>
      <c r="AJ108" s="1">
        <v>0</v>
      </c>
      <c r="AK108" s="1">
        <v>0</v>
      </c>
      <c r="AL108" s="1">
        <v>0</v>
      </c>
    </row>
    <row r="109" spans="1:38" x14ac:dyDescent="0.25">
      <c r="A109" t="s">
        <v>135</v>
      </c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>
        <v>0</v>
      </c>
      <c r="AA109" s="1">
        <v>0</v>
      </c>
      <c r="AB109" s="1">
        <v>0</v>
      </c>
      <c r="AC109" s="1">
        <v>0</v>
      </c>
      <c r="AD109" s="1">
        <v>0</v>
      </c>
      <c r="AE109" s="1">
        <v>0</v>
      </c>
      <c r="AF109" s="1">
        <v>0</v>
      </c>
      <c r="AG109" s="1">
        <v>0</v>
      </c>
      <c r="AH109" s="1">
        <v>0</v>
      </c>
      <c r="AI109" s="1">
        <v>0</v>
      </c>
      <c r="AJ109" s="1">
        <v>0</v>
      </c>
      <c r="AK109" s="1">
        <v>0</v>
      </c>
      <c r="AL109" s="1">
        <v>0</v>
      </c>
    </row>
    <row r="110" spans="1:38" x14ac:dyDescent="0.25">
      <c r="A110" t="s">
        <v>136</v>
      </c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>
        <v>0</v>
      </c>
      <c r="AA110" s="1">
        <v>0</v>
      </c>
      <c r="AB110" s="1">
        <v>0</v>
      </c>
      <c r="AC110" s="1">
        <v>0</v>
      </c>
      <c r="AD110" s="1">
        <v>0</v>
      </c>
      <c r="AE110" s="1">
        <v>0</v>
      </c>
      <c r="AF110" s="1">
        <v>0</v>
      </c>
      <c r="AG110" s="1">
        <v>0</v>
      </c>
      <c r="AH110" s="1">
        <v>0</v>
      </c>
      <c r="AI110" s="1">
        <v>0</v>
      </c>
      <c r="AJ110" s="1">
        <v>0</v>
      </c>
      <c r="AK110" s="1">
        <v>0</v>
      </c>
      <c r="AL110" s="1">
        <v>0</v>
      </c>
    </row>
    <row r="111" spans="1:38" x14ac:dyDescent="0.25">
      <c r="A111" t="s">
        <v>137</v>
      </c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>
        <v>0</v>
      </c>
      <c r="AA111" s="1">
        <v>0</v>
      </c>
      <c r="AB111" s="1">
        <v>0</v>
      </c>
      <c r="AC111" s="1">
        <v>0</v>
      </c>
      <c r="AD111" s="1">
        <v>0</v>
      </c>
      <c r="AE111" s="1">
        <v>0</v>
      </c>
      <c r="AF111" s="1">
        <v>0</v>
      </c>
      <c r="AG111" s="1">
        <v>0</v>
      </c>
      <c r="AH111" s="1">
        <v>0</v>
      </c>
      <c r="AI111" s="1">
        <v>0</v>
      </c>
      <c r="AJ111" s="1">
        <v>0</v>
      </c>
      <c r="AK111" s="1">
        <v>0</v>
      </c>
      <c r="AL111" s="1">
        <v>0</v>
      </c>
    </row>
    <row r="112" spans="1:38" x14ac:dyDescent="0.25">
      <c r="A112" t="s">
        <v>138</v>
      </c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>
        <v>0</v>
      </c>
      <c r="AA112" s="1">
        <v>0</v>
      </c>
      <c r="AB112" s="1">
        <v>0</v>
      </c>
      <c r="AC112" s="1">
        <v>0</v>
      </c>
      <c r="AD112" s="1">
        <v>0</v>
      </c>
      <c r="AE112" s="1">
        <v>0</v>
      </c>
      <c r="AF112" s="1">
        <v>0</v>
      </c>
      <c r="AG112" s="1">
        <v>0</v>
      </c>
      <c r="AH112" s="1">
        <v>0</v>
      </c>
      <c r="AI112" s="1">
        <v>0</v>
      </c>
      <c r="AJ112" s="1">
        <v>0</v>
      </c>
      <c r="AK112" s="1">
        <v>0</v>
      </c>
      <c r="AL112" s="1">
        <v>0</v>
      </c>
    </row>
    <row r="113" spans="1:38" x14ac:dyDescent="0.25">
      <c r="A113" t="s">
        <v>139</v>
      </c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>
        <v>0</v>
      </c>
      <c r="AA113" s="1">
        <v>0</v>
      </c>
      <c r="AB113" s="1">
        <v>0</v>
      </c>
      <c r="AC113" s="1">
        <v>0</v>
      </c>
      <c r="AD113" s="1">
        <v>0</v>
      </c>
      <c r="AE113" s="1">
        <v>0</v>
      </c>
      <c r="AF113" s="1">
        <v>0</v>
      </c>
      <c r="AG113" s="1">
        <v>0</v>
      </c>
      <c r="AH113" s="1">
        <v>0</v>
      </c>
      <c r="AI113" s="1">
        <v>0</v>
      </c>
      <c r="AJ113" s="1">
        <v>0</v>
      </c>
      <c r="AK113" s="1">
        <v>0</v>
      </c>
      <c r="AL113" s="1">
        <v>0</v>
      </c>
    </row>
    <row r="114" spans="1:38" x14ac:dyDescent="0.25">
      <c r="A114" t="s">
        <v>140</v>
      </c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>
        <v>0</v>
      </c>
      <c r="AA114" s="1">
        <v>0</v>
      </c>
      <c r="AB114" s="1">
        <v>0</v>
      </c>
      <c r="AC114" s="1">
        <v>0</v>
      </c>
      <c r="AD114" s="1">
        <v>0</v>
      </c>
      <c r="AE114" s="1">
        <v>0</v>
      </c>
      <c r="AF114" s="1">
        <v>0</v>
      </c>
      <c r="AG114" s="1">
        <v>0</v>
      </c>
      <c r="AH114" s="1">
        <v>0</v>
      </c>
      <c r="AI114" s="1">
        <v>0</v>
      </c>
      <c r="AJ114" s="1">
        <v>0</v>
      </c>
      <c r="AK114" s="1">
        <v>0</v>
      </c>
      <c r="AL114" s="1">
        <v>0</v>
      </c>
    </row>
    <row r="115" spans="1:38" x14ac:dyDescent="0.25">
      <c r="A115" t="s">
        <v>141</v>
      </c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>
        <v>0</v>
      </c>
      <c r="AA115" s="1">
        <v>0</v>
      </c>
      <c r="AB115" s="1">
        <v>0</v>
      </c>
      <c r="AC115" s="1">
        <v>0</v>
      </c>
      <c r="AD115" s="1">
        <v>0</v>
      </c>
      <c r="AE115" s="1">
        <v>0</v>
      </c>
      <c r="AF115" s="1">
        <v>0</v>
      </c>
      <c r="AG115" s="1">
        <v>0</v>
      </c>
      <c r="AH115" s="1">
        <v>0</v>
      </c>
      <c r="AI115" s="1">
        <v>0</v>
      </c>
      <c r="AJ115" s="1">
        <v>0</v>
      </c>
      <c r="AK115" s="1">
        <v>0</v>
      </c>
      <c r="AL115" s="1">
        <v>0</v>
      </c>
    </row>
    <row r="116" spans="1:38" x14ac:dyDescent="0.25">
      <c r="A116" t="s">
        <v>142</v>
      </c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>
        <v>0</v>
      </c>
      <c r="AA116" s="1">
        <v>0</v>
      </c>
      <c r="AB116" s="1">
        <v>0</v>
      </c>
      <c r="AC116" s="1">
        <v>0</v>
      </c>
      <c r="AD116" s="1">
        <v>0</v>
      </c>
      <c r="AE116" s="1">
        <v>0</v>
      </c>
      <c r="AF116" s="1">
        <v>0</v>
      </c>
      <c r="AG116" s="1">
        <v>0</v>
      </c>
      <c r="AH116" s="1">
        <v>0</v>
      </c>
      <c r="AI116" s="1">
        <v>0</v>
      </c>
      <c r="AJ116" s="1">
        <v>0</v>
      </c>
      <c r="AK116" s="1">
        <v>0</v>
      </c>
      <c r="AL116" s="1">
        <v>0</v>
      </c>
    </row>
    <row r="117" spans="1:38" x14ac:dyDescent="0.25">
      <c r="A117" t="s">
        <v>143</v>
      </c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>
        <v>0</v>
      </c>
      <c r="AA117" s="1">
        <v>0</v>
      </c>
      <c r="AB117" s="1">
        <v>0</v>
      </c>
      <c r="AC117" s="1">
        <v>0</v>
      </c>
      <c r="AD117" s="1">
        <v>0</v>
      </c>
      <c r="AE117" s="1">
        <v>0</v>
      </c>
      <c r="AF117" s="1">
        <v>0</v>
      </c>
      <c r="AG117" s="1">
        <v>0</v>
      </c>
      <c r="AH117" s="1">
        <v>0</v>
      </c>
      <c r="AI117" s="1">
        <v>0</v>
      </c>
      <c r="AJ117" s="1">
        <v>0</v>
      </c>
      <c r="AK117" s="1">
        <v>0</v>
      </c>
      <c r="AL117" s="1">
        <v>0</v>
      </c>
    </row>
    <row r="118" spans="1:38" x14ac:dyDescent="0.25">
      <c r="A118" t="s">
        <v>144</v>
      </c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>
        <v>0</v>
      </c>
      <c r="AA118" s="1">
        <v>0</v>
      </c>
      <c r="AB118" s="1">
        <v>0</v>
      </c>
      <c r="AC118" s="1">
        <v>0</v>
      </c>
      <c r="AD118" s="1">
        <v>0</v>
      </c>
      <c r="AE118" s="1">
        <v>0</v>
      </c>
      <c r="AF118" s="1">
        <v>0</v>
      </c>
      <c r="AG118" s="1">
        <v>0</v>
      </c>
      <c r="AH118" s="1">
        <v>0</v>
      </c>
      <c r="AI118" s="1">
        <v>0</v>
      </c>
      <c r="AJ118" s="1">
        <v>0</v>
      </c>
      <c r="AK118" s="1">
        <v>0</v>
      </c>
      <c r="AL118" s="1">
        <v>0</v>
      </c>
    </row>
    <row r="119" spans="1:38" x14ac:dyDescent="0.25">
      <c r="A119" t="s">
        <v>145</v>
      </c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>
        <v>0</v>
      </c>
      <c r="AA119" s="1">
        <v>0</v>
      </c>
      <c r="AB119" s="1">
        <v>0</v>
      </c>
      <c r="AC119" s="1">
        <v>0</v>
      </c>
      <c r="AD119" s="1">
        <v>0</v>
      </c>
      <c r="AE119" s="1">
        <v>0</v>
      </c>
      <c r="AF119" s="1">
        <v>0</v>
      </c>
      <c r="AG119" s="1">
        <v>0</v>
      </c>
      <c r="AH119" s="1">
        <v>0</v>
      </c>
      <c r="AI119" s="1">
        <v>0</v>
      </c>
      <c r="AJ119" s="1">
        <v>0</v>
      </c>
      <c r="AK119" s="1">
        <v>0</v>
      </c>
      <c r="AL119" s="1">
        <v>0</v>
      </c>
    </row>
    <row r="120" spans="1:38" x14ac:dyDescent="0.25">
      <c r="A120" t="s">
        <v>146</v>
      </c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>
        <v>0</v>
      </c>
      <c r="AA120" s="1">
        <v>0</v>
      </c>
      <c r="AB120" s="1">
        <v>0</v>
      </c>
      <c r="AC120" s="1">
        <v>0</v>
      </c>
      <c r="AD120" s="1">
        <v>0</v>
      </c>
      <c r="AE120" s="1">
        <v>0</v>
      </c>
      <c r="AF120" s="1">
        <v>0</v>
      </c>
      <c r="AG120" s="1">
        <v>0</v>
      </c>
      <c r="AH120" s="1">
        <v>0</v>
      </c>
      <c r="AI120" s="1">
        <v>0</v>
      </c>
      <c r="AJ120" s="1">
        <v>0</v>
      </c>
      <c r="AK120" s="1">
        <v>0</v>
      </c>
      <c r="AL120" s="1">
        <v>0</v>
      </c>
    </row>
    <row r="121" spans="1:38" x14ac:dyDescent="0.25">
      <c r="A121" t="s">
        <v>147</v>
      </c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>
        <v>0</v>
      </c>
      <c r="AA121" s="1">
        <v>0</v>
      </c>
      <c r="AB121" s="1">
        <v>0</v>
      </c>
      <c r="AC121" s="1">
        <v>0</v>
      </c>
      <c r="AD121" s="1">
        <v>0</v>
      </c>
      <c r="AE121" s="1">
        <v>0</v>
      </c>
      <c r="AF121" s="1">
        <v>0</v>
      </c>
      <c r="AG121" s="1">
        <v>0</v>
      </c>
      <c r="AH121" s="1">
        <v>0</v>
      </c>
      <c r="AI121" s="1">
        <v>0</v>
      </c>
      <c r="AJ121" s="1">
        <v>0</v>
      </c>
      <c r="AK121" s="1">
        <v>0</v>
      </c>
      <c r="AL121" s="1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C39A2-025A-41B3-9C60-22F202BB8868}">
  <dimension ref="A1:R2"/>
  <sheetViews>
    <sheetView workbookViewId="0">
      <selection activeCell="A2" sqref="A2"/>
    </sheetView>
  </sheetViews>
  <sheetFormatPr defaultRowHeight="15" x14ac:dyDescent="0.25"/>
  <cols>
    <col min="1" max="1" width="19.7109375" bestFit="1" customWidth="1"/>
    <col min="3" max="3" width="12.42578125" bestFit="1" customWidth="1"/>
    <col min="4" max="4" width="6" bestFit="1" customWidth="1"/>
    <col min="5" max="5" width="11" bestFit="1" customWidth="1"/>
    <col min="10" max="10" width="12" bestFit="1" customWidth="1"/>
  </cols>
  <sheetData>
    <row r="1" spans="1:18" x14ac:dyDescent="0.25">
      <c r="A1" t="s">
        <v>0</v>
      </c>
      <c r="B1" t="s">
        <v>23</v>
      </c>
      <c r="C1" t="s">
        <v>39</v>
      </c>
      <c r="D1" t="s">
        <v>26</v>
      </c>
      <c r="E1" t="s">
        <v>27</v>
      </c>
      <c r="F1" t="s">
        <v>30</v>
      </c>
      <c r="G1" t="s">
        <v>31</v>
      </c>
      <c r="H1" t="s">
        <v>41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28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742C1-0B95-4CA1-8FA2-14D0BE967B15}">
  <dimension ref="A1:R2"/>
  <sheetViews>
    <sheetView workbookViewId="0">
      <selection activeCell="E36" sqref="E36"/>
    </sheetView>
  </sheetViews>
  <sheetFormatPr defaultRowHeight="15" x14ac:dyDescent="0.25"/>
  <cols>
    <col min="1" max="1" width="19.7109375" bestFit="1" customWidth="1"/>
    <col min="7" max="7" width="11" bestFit="1" customWidth="1"/>
    <col min="15" max="15" width="4.7109375" bestFit="1" customWidth="1"/>
    <col min="16" max="16" width="8.42578125" bestFit="1" customWidth="1"/>
    <col min="17" max="17" width="6.28515625" bestFit="1" customWidth="1"/>
    <col min="18" max="18" width="9" bestFit="1" customWidth="1"/>
  </cols>
  <sheetData>
    <row r="1" spans="1:18" x14ac:dyDescent="0.25">
      <c r="A1" t="s">
        <v>0</v>
      </c>
      <c r="B1" t="s">
        <v>23</v>
      </c>
      <c r="C1" t="s">
        <v>43</v>
      </c>
      <c r="D1" t="s">
        <v>41</v>
      </c>
      <c r="E1" t="s">
        <v>26</v>
      </c>
      <c r="F1" t="s">
        <v>28</v>
      </c>
      <c r="G1" t="s">
        <v>27</v>
      </c>
      <c r="H1" t="s">
        <v>30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2BC23-0382-4C73-BD55-9C5BF90A5872}">
  <dimension ref="A1:R5"/>
  <sheetViews>
    <sheetView workbookViewId="0">
      <selection activeCell="B3" sqref="B3"/>
    </sheetView>
  </sheetViews>
  <sheetFormatPr defaultRowHeight="15" x14ac:dyDescent="0.25"/>
  <cols>
    <col min="1" max="1" width="19.7109375" bestFit="1" customWidth="1"/>
    <col min="2" max="2" width="19.7109375" customWidth="1"/>
    <col min="3" max="3" width="11.5703125" bestFit="1" customWidth="1"/>
    <col min="4" max="4" width="6" bestFit="1" customWidth="1"/>
    <col min="11" max="11" width="12" bestFit="1" customWidth="1"/>
  </cols>
  <sheetData>
    <row r="1" spans="1:18" x14ac:dyDescent="0.25">
      <c r="A1" t="s">
        <v>0</v>
      </c>
      <c r="B1" t="s">
        <v>23</v>
      </c>
      <c r="C1" t="s">
        <v>43</v>
      </c>
      <c r="D1" t="s">
        <v>26</v>
      </c>
      <c r="E1" t="s">
        <v>32</v>
      </c>
      <c r="F1" t="s">
        <v>27</v>
      </c>
      <c r="G1" t="s">
        <v>28</v>
      </c>
      <c r="H1" t="s">
        <v>30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42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1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</row>
    <row r="3" spans="1:18" x14ac:dyDescent="0.25">
      <c r="A3" t="s">
        <v>2</v>
      </c>
      <c r="B3">
        <f t="shared" ref="B3:B5" si="0">SUM(C3:R3)</f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16</v>
      </c>
      <c r="B4">
        <f t="shared" si="0"/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89</v>
      </c>
      <c r="B5">
        <f t="shared" si="0"/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508AD-7632-48CF-B894-9F6914C08CD8}">
  <dimension ref="A1:R9"/>
  <sheetViews>
    <sheetView zoomScale="85" zoomScaleNormal="85" workbookViewId="0">
      <selection activeCell="A9" sqref="A9"/>
    </sheetView>
  </sheetViews>
  <sheetFormatPr defaultRowHeight="15" x14ac:dyDescent="0.25"/>
  <cols>
    <col min="1" max="1" width="23" bestFit="1" customWidth="1"/>
    <col min="5" max="5" width="11" bestFit="1" customWidth="1"/>
    <col min="10" max="10" width="12" bestFit="1" customWidth="1"/>
    <col min="15" max="15" width="9.28515625" bestFit="1" customWidth="1"/>
  </cols>
  <sheetData>
    <row r="1" spans="1:18" x14ac:dyDescent="0.25">
      <c r="A1" t="s">
        <v>0</v>
      </c>
      <c r="B1" t="s">
        <v>23</v>
      </c>
      <c r="C1" t="s">
        <v>26</v>
      </c>
      <c r="D1" t="s">
        <v>47</v>
      </c>
      <c r="E1" t="s">
        <v>27</v>
      </c>
      <c r="F1" t="s">
        <v>30</v>
      </c>
      <c r="G1" t="s">
        <v>28</v>
      </c>
      <c r="H1" t="s">
        <v>31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32</v>
      </c>
      <c r="Q1" t="s">
        <v>40</v>
      </c>
      <c r="R1" t="s">
        <v>24</v>
      </c>
    </row>
    <row r="2" spans="1:18" x14ac:dyDescent="0.25">
      <c r="A2" t="s">
        <v>1</v>
      </c>
      <c r="B2">
        <f>SUM(C2:R2)</f>
        <v>8</v>
      </c>
      <c r="C2">
        <v>1</v>
      </c>
      <c r="D2">
        <v>1</v>
      </c>
      <c r="E2">
        <v>1</v>
      </c>
      <c r="F2">
        <v>1</v>
      </c>
      <c r="G2">
        <v>0</v>
      </c>
      <c r="H2">
        <v>1</v>
      </c>
      <c r="I2">
        <v>1</v>
      </c>
      <c r="J2">
        <v>0</v>
      </c>
      <c r="K2">
        <v>0</v>
      </c>
      <c r="L2">
        <v>1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</row>
    <row r="3" spans="1:18" x14ac:dyDescent="0.25">
      <c r="A3" t="s">
        <v>2</v>
      </c>
      <c r="B3">
        <f t="shared" ref="B3:B9" si="0">SUM(C3:R3)</f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4</v>
      </c>
      <c r="B4">
        <f t="shared" si="0"/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10</v>
      </c>
      <c r="B5">
        <f t="shared" si="0"/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t="s">
        <v>16</v>
      </c>
      <c r="B6">
        <f t="shared" si="0"/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52</v>
      </c>
      <c r="B7">
        <f t="shared" si="0"/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21</v>
      </c>
      <c r="B8">
        <f t="shared" si="0"/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45</v>
      </c>
      <c r="B9">
        <f t="shared" si="0"/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668A00-6C37-4B7D-B869-26E922968418}">
  <dimension ref="A1:S10"/>
  <sheetViews>
    <sheetView zoomScale="70" zoomScaleNormal="70" workbookViewId="0">
      <selection activeCell="B2" sqref="B2"/>
    </sheetView>
  </sheetViews>
  <sheetFormatPr defaultRowHeight="15" x14ac:dyDescent="0.25"/>
  <cols>
    <col min="1" max="1" width="20.7109375" bestFit="1" customWidth="1"/>
  </cols>
  <sheetData>
    <row r="1" spans="1:19" x14ac:dyDescent="0.25">
      <c r="A1" t="s">
        <v>0</v>
      </c>
      <c r="B1" t="s">
        <v>23</v>
      </c>
      <c r="C1" t="s">
        <v>26</v>
      </c>
      <c r="D1" t="s">
        <v>48</v>
      </c>
      <c r="E1" t="s">
        <v>27</v>
      </c>
      <c r="F1" t="s">
        <v>28</v>
      </c>
      <c r="G1" t="s">
        <v>30</v>
      </c>
      <c r="H1" t="s">
        <v>31</v>
      </c>
      <c r="I1" t="s">
        <v>34</v>
      </c>
      <c r="J1" t="s">
        <v>33</v>
      </c>
      <c r="K1" t="s">
        <v>35</v>
      </c>
      <c r="L1" t="s">
        <v>36</v>
      </c>
      <c r="M1" t="s">
        <v>37</v>
      </c>
      <c r="N1" t="s">
        <v>38</v>
      </c>
      <c r="O1" t="s">
        <v>42</v>
      </c>
      <c r="P1" t="s">
        <v>32</v>
      </c>
      <c r="Q1" t="s">
        <v>47</v>
      </c>
      <c r="R1" t="s">
        <v>40</v>
      </c>
      <c r="S1" t="s">
        <v>24</v>
      </c>
    </row>
    <row r="2" spans="1:19" x14ac:dyDescent="0.25">
      <c r="A2" t="s">
        <v>1</v>
      </c>
      <c r="B2">
        <f>SUM(C2:S2)</f>
        <v>9</v>
      </c>
      <c r="C2">
        <v>1</v>
      </c>
      <c r="D2">
        <v>0</v>
      </c>
      <c r="E2">
        <v>0</v>
      </c>
      <c r="F2">
        <v>1</v>
      </c>
      <c r="G2">
        <v>1</v>
      </c>
      <c r="H2">
        <v>0</v>
      </c>
      <c r="I2">
        <v>1</v>
      </c>
      <c r="J2">
        <v>0</v>
      </c>
      <c r="K2">
        <v>1</v>
      </c>
      <c r="L2">
        <v>0</v>
      </c>
      <c r="M2">
        <v>1</v>
      </c>
      <c r="N2">
        <v>0</v>
      </c>
      <c r="O2">
        <v>0</v>
      </c>
      <c r="P2">
        <v>1</v>
      </c>
      <c r="Q2">
        <v>1</v>
      </c>
      <c r="R2">
        <v>1</v>
      </c>
      <c r="S2">
        <v>0</v>
      </c>
    </row>
    <row r="3" spans="1:19" x14ac:dyDescent="0.25">
      <c r="A3" t="s">
        <v>2</v>
      </c>
      <c r="B3">
        <f t="shared" ref="B3:B10" si="0">SUM(C3:S3)</f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t="s">
        <v>4</v>
      </c>
      <c r="B4">
        <f t="shared" si="0"/>
        <v>1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10</v>
      </c>
      <c r="B5">
        <f t="shared" si="0"/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16</v>
      </c>
      <c r="B6">
        <f t="shared" si="0"/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52</v>
      </c>
      <c r="B7">
        <f t="shared" si="0"/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21</v>
      </c>
      <c r="B8">
        <f t="shared" si="0"/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45</v>
      </c>
      <c r="B9">
        <f t="shared" si="0"/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148</v>
      </c>
      <c r="B10">
        <f t="shared" si="0"/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05A22-72AA-4B8B-8276-187361E5AFF5}">
  <dimension ref="A1:R12"/>
  <sheetViews>
    <sheetView zoomScale="85" zoomScaleNormal="85" workbookViewId="0">
      <selection activeCell="B17" sqref="B17"/>
    </sheetView>
  </sheetViews>
  <sheetFormatPr defaultRowHeight="15" x14ac:dyDescent="0.25"/>
  <cols>
    <col min="1" max="1" width="20.7109375" bestFit="1" customWidth="1"/>
    <col min="7" max="7" width="11" bestFit="1" customWidth="1"/>
  </cols>
  <sheetData>
    <row r="1" spans="1:18" x14ac:dyDescent="0.25">
      <c r="A1" t="s">
        <v>0</v>
      </c>
      <c r="B1" t="s">
        <v>23</v>
      </c>
      <c r="C1" t="s">
        <v>24</v>
      </c>
      <c r="D1" t="s">
        <v>26</v>
      </c>
      <c r="E1" t="s">
        <v>48</v>
      </c>
      <c r="F1" t="s">
        <v>32</v>
      </c>
      <c r="G1" t="s">
        <v>27</v>
      </c>
      <c r="H1" t="s">
        <v>30</v>
      </c>
      <c r="I1" t="s">
        <v>28</v>
      </c>
      <c r="J1" t="s">
        <v>31</v>
      </c>
      <c r="K1" t="s">
        <v>34</v>
      </c>
      <c r="L1" t="s">
        <v>33</v>
      </c>
      <c r="M1" t="s">
        <v>35</v>
      </c>
      <c r="N1" t="s">
        <v>36</v>
      </c>
      <c r="O1" t="s">
        <v>37</v>
      </c>
      <c r="P1" t="s">
        <v>38</v>
      </c>
      <c r="Q1" t="s">
        <v>42</v>
      </c>
      <c r="R1" t="s">
        <v>40</v>
      </c>
    </row>
    <row r="2" spans="1:18" x14ac:dyDescent="0.25">
      <c r="A2" t="s">
        <v>1</v>
      </c>
      <c r="B2">
        <f>SUM(C2:R2)</f>
        <v>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1</v>
      </c>
      <c r="J2">
        <v>0</v>
      </c>
      <c r="K2">
        <v>0</v>
      </c>
      <c r="L2">
        <v>0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</row>
    <row r="3" spans="1:18" x14ac:dyDescent="0.25">
      <c r="A3" t="s">
        <v>2</v>
      </c>
      <c r="B3">
        <f t="shared" ref="B3:B12" si="0">SUM(C3:R3)</f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4</v>
      </c>
      <c r="B4">
        <f t="shared" si="0"/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9</v>
      </c>
      <c r="B5">
        <f t="shared" si="0"/>
        <v>4</v>
      </c>
      <c r="C5">
        <v>0</v>
      </c>
      <c r="D5">
        <v>0</v>
      </c>
      <c r="E5">
        <v>0</v>
      </c>
      <c r="F5">
        <v>1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0</v>
      </c>
      <c r="N5">
        <v>1</v>
      </c>
      <c r="O5">
        <v>0</v>
      </c>
      <c r="P5">
        <v>0</v>
      </c>
      <c r="Q5">
        <v>1</v>
      </c>
      <c r="R5">
        <v>0</v>
      </c>
    </row>
    <row r="6" spans="1:18" x14ac:dyDescent="0.25">
      <c r="A6" t="s">
        <v>10</v>
      </c>
      <c r="B6">
        <f t="shared" si="0"/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1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14</v>
      </c>
      <c r="B7">
        <f t="shared" si="0"/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16</v>
      </c>
      <c r="B8">
        <f t="shared" si="0"/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52</v>
      </c>
      <c r="B9">
        <f t="shared" si="0"/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21</v>
      </c>
      <c r="B10">
        <f t="shared" si="0"/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45</v>
      </c>
      <c r="B11">
        <f t="shared" si="0"/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89</v>
      </c>
      <c r="B12">
        <f t="shared" si="0"/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914D4-403F-4B81-B472-8E3F05ADF641}">
  <dimension ref="A1:S14"/>
  <sheetViews>
    <sheetView zoomScale="70" zoomScaleNormal="70" workbookViewId="0">
      <selection activeCell="H26" sqref="H26"/>
    </sheetView>
  </sheetViews>
  <sheetFormatPr defaultRowHeight="15" x14ac:dyDescent="0.25"/>
  <cols>
    <col min="1" max="1" width="20.7109375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26</v>
      </c>
      <c r="E1" t="s">
        <v>48</v>
      </c>
      <c r="F1" t="s">
        <v>27</v>
      </c>
      <c r="G1" t="s">
        <v>30</v>
      </c>
      <c r="H1" t="s">
        <v>28</v>
      </c>
      <c r="I1" t="s">
        <v>31</v>
      </c>
      <c r="J1" t="s">
        <v>34</v>
      </c>
      <c r="K1" t="s">
        <v>33</v>
      </c>
      <c r="L1" t="s">
        <v>35</v>
      </c>
      <c r="M1" t="s">
        <v>36</v>
      </c>
      <c r="N1" t="s">
        <v>37</v>
      </c>
      <c r="O1" t="s">
        <v>38</v>
      </c>
      <c r="P1" t="s">
        <v>29</v>
      </c>
      <c r="Q1" t="s">
        <v>149</v>
      </c>
      <c r="R1" t="s">
        <v>40</v>
      </c>
      <c r="S1" t="s">
        <v>32</v>
      </c>
    </row>
    <row r="2" spans="1:19" x14ac:dyDescent="0.25">
      <c r="A2" t="s">
        <v>1</v>
      </c>
      <c r="B2">
        <f t="shared" ref="B2:B14" si="0">SUM(C2:S2)</f>
        <v>5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1</v>
      </c>
      <c r="J2">
        <v>1</v>
      </c>
      <c r="K2">
        <v>0</v>
      </c>
      <c r="L2">
        <v>0</v>
      </c>
      <c r="M2">
        <v>0</v>
      </c>
      <c r="N2">
        <v>1</v>
      </c>
      <c r="O2">
        <v>0</v>
      </c>
      <c r="P2">
        <v>0</v>
      </c>
      <c r="Q2">
        <v>0</v>
      </c>
      <c r="R2">
        <v>1</v>
      </c>
      <c r="S2">
        <v>0</v>
      </c>
    </row>
    <row r="3" spans="1:19" x14ac:dyDescent="0.25">
      <c r="A3" t="s">
        <v>2</v>
      </c>
      <c r="B3">
        <f t="shared" si="0"/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t="s">
        <v>4</v>
      </c>
      <c r="B4">
        <f t="shared" si="0"/>
        <v>2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6</v>
      </c>
      <c r="B5">
        <f t="shared" si="0"/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9</v>
      </c>
      <c r="B6">
        <f t="shared" si="0"/>
        <v>7</v>
      </c>
      <c r="C6">
        <v>0</v>
      </c>
      <c r="D6">
        <v>1</v>
      </c>
      <c r="E6">
        <v>1</v>
      </c>
      <c r="F6">
        <v>0</v>
      </c>
      <c r="G6">
        <v>0</v>
      </c>
      <c r="H6">
        <v>1</v>
      </c>
      <c r="I6">
        <v>0</v>
      </c>
      <c r="J6">
        <v>0</v>
      </c>
      <c r="K6">
        <v>1</v>
      </c>
      <c r="L6">
        <v>0</v>
      </c>
      <c r="M6">
        <v>1</v>
      </c>
      <c r="N6">
        <v>0</v>
      </c>
      <c r="O6">
        <v>0</v>
      </c>
      <c r="P6">
        <v>1</v>
      </c>
      <c r="Q6">
        <v>1</v>
      </c>
      <c r="R6">
        <v>0</v>
      </c>
      <c r="S6">
        <v>0</v>
      </c>
    </row>
    <row r="7" spans="1:19" x14ac:dyDescent="0.25">
      <c r="A7" t="s">
        <v>10</v>
      </c>
      <c r="B7">
        <f t="shared" si="0"/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12</v>
      </c>
      <c r="B8">
        <f t="shared" si="0"/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14</v>
      </c>
      <c r="B9">
        <f t="shared" si="0"/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16</v>
      </c>
      <c r="B10">
        <f t="shared" si="0"/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52</v>
      </c>
      <c r="B11">
        <f t="shared" si="0"/>
        <v>1</v>
      </c>
      <c r="C11">
        <v>0</v>
      </c>
      <c r="D11">
        <v>0</v>
      </c>
      <c r="E11">
        <v>0</v>
      </c>
      <c r="F11">
        <v>1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21</v>
      </c>
      <c r="B12">
        <f t="shared" si="0"/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45</v>
      </c>
      <c r="B13">
        <f t="shared" si="0"/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65</v>
      </c>
      <c r="B14">
        <f t="shared" si="0"/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3FC8D-E56E-407E-83EA-E01E6A3300AE}">
  <dimension ref="A1:R14"/>
  <sheetViews>
    <sheetView workbookViewId="0">
      <selection activeCell="T26" sqref="T26"/>
    </sheetView>
  </sheetViews>
  <sheetFormatPr defaultRowHeight="15" x14ac:dyDescent="0.25"/>
  <cols>
    <col min="1" max="1" width="20.7109375" bestFit="1" customWidth="1"/>
    <col min="6" max="6" width="11" bestFit="1" customWidth="1"/>
  </cols>
  <sheetData>
    <row r="1" spans="1:18" x14ac:dyDescent="0.25">
      <c r="A1" t="s">
        <v>0</v>
      </c>
      <c r="B1" t="s">
        <v>23</v>
      </c>
      <c r="C1" t="s">
        <v>24</v>
      </c>
      <c r="D1" t="s">
        <v>26</v>
      </c>
      <c r="E1" t="s">
        <v>48</v>
      </c>
      <c r="F1" t="s">
        <v>27</v>
      </c>
      <c r="G1" t="s">
        <v>28</v>
      </c>
      <c r="H1" t="s">
        <v>30</v>
      </c>
      <c r="I1" t="s">
        <v>31</v>
      </c>
      <c r="J1" t="s">
        <v>34</v>
      </c>
      <c r="K1" t="s">
        <v>33</v>
      </c>
      <c r="L1" t="s">
        <v>29</v>
      </c>
      <c r="M1" t="s">
        <v>35</v>
      </c>
      <c r="N1" t="s">
        <v>36</v>
      </c>
      <c r="O1" t="s">
        <v>37</v>
      </c>
      <c r="P1" t="s">
        <v>38</v>
      </c>
      <c r="Q1" t="s">
        <v>149</v>
      </c>
      <c r="R1" t="s">
        <v>40</v>
      </c>
    </row>
    <row r="2" spans="1:18" x14ac:dyDescent="0.25">
      <c r="A2" t="s">
        <v>1</v>
      </c>
      <c r="B2">
        <f>SUM(C2:R2)</f>
        <v>6</v>
      </c>
      <c r="C2">
        <v>0</v>
      </c>
      <c r="D2">
        <v>0</v>
      </c>
      <c r="E2">
        <v>1</v>
      </c>
      <c r="F2">
        <v>0</v>
      </c>
      <c r="G2">
        <v>0</v>
      </c>
      <c r="H2">
        <v>0</v>
      </c>
      <c r="I2">
        <v>1</v>
      </c>
      <c r="J2">
        <v>1</v>
      </c>
      <c r="K2">
        <v>1</v>
      </c>
      <c r="L2">
        <v>0</v>
      </c>
      <c r="M2">
        <v>0</v>
      </c>
      <c r="N2">
        <v>1</v>
      </c>
      <c r="O2">
        <v>0</v>
      </c>
      <c r="P2">
        <v>1</v>
      </c>
      <c r="Q2">
        <v>0</v>
      </c>
      <c r="R2">
        <v>0</v>
      </c>
    </row>
    <row r="3" spans="1:18" x14ac:dyDescent="0.25">
      <c r="A3" t="s">
        <v>2</v>
      </c>
      <c r="B3">
        <f t="shared" ref="B3:B14" si="0">SUM(C3:R3)</f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4</v>
      </c>
      <c r="B4">
        <f t="shared" si="0"/>
        <v>1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6</v>
      </c>
      <c r="B5">
        <f t="shared" si="0"/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t="s">
        <v>9</v>
      </c>
      <c r="B6">
        <f t="shared" si="0"/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10</v>
      </c>
      <c r="B7">
        <f t="shared" si="0"/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12</v>
      </c>
      <c r="B8">
        <f t="shared" si="0"/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14</v>
      </c>
      <c r="B9">
        <f t="shared" si="0"/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16</v>
      </c>
      <c r="B10">
        <f t="shared" si="0"/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52</v>
      </c>
      <c r="B11">
        <f t="shared" si="0"/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</row>
    <row r="12" spans="1:18" x14ac:dyDescent="0.25">
      <c r="A12" t="s">
        <v>21</v>
      </c>
      <c r="B12">
        <f t="shared" si="0"/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</row>
    <row r="13" spans="1:18" x14ac:dyDescent="0.25">
      <c r="A13" t="s">
        <v>45</v>
      </c>
      <c r="B13">
        <f t="shared" si="0"/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65</v>
      </c>
      <c r="B14">
        <f t="shared" si="0"/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2F957-1D62-4580-B7C6-2DFEBD8C86A9}">
  <dimension ref="A1:R18"/>
  <sheetViews>
    <sheetView topLeftCell="C1" zoomScale="85" zoomScaleNormal="85" workbookViewId="0">
      <selection activeCell="Q12" sqref="Q12:Q18"/>
    </sheetView>
  </sheetViews>
  <sheetFormatPr defaultRowHeight="15" x14ac:dyDescent="0.25"/>
  <cols>
    <col min="1" max="1" width="20.7109375" bestFit="1" customWidth="1"/>
  </cols>
  <sheetData>
    <row r="1" spans="1:18" x14ac:dyDescent="0.25">
      <c r="A1" t="s">
        <v>0</v>
      </c>
      <c r="B1" t="s">
        <v>23</v>
      </c>
      <c r="C1" t="s">
        <v>24</v>
      </c>
      <c r="D1" t="s">
        <v>26</v>
      </c>
      <c r="E1" t="s">
        <v>27</v>
      </c>
      <c r="F1" t="s">
        <v>30</v>
      </c>
      <c r="G1" t="s">
        <v>28</v>
      </c>
      <c r="H1" t="s">
        <v>31</v>
      </c>
      <c r="I1" t="s">
        <v>34</v>
      </c>
      <c r="J1" t="s">
        <v>33</v>
      </c>
      <c r="K1" t="s">
        <v>29</v>
      </c>
      <c r="L1" t="s">
        <v>35</v>
      </c>
      <c r="M1" t="s">
        <v>36</v>
      </c>
      <c r="N1" t="s">
        <v>37</v>
      </c>
      <c r="O1" t="s">
        <v>38</v>
      </c>
      <c r="P1" t="s">
        <v>32</v>
      </c>
      <c r="Q1" t="s">
        <v>25</v>
      </c>
      <c r="R1" t="s">
        <v>40</v>
      </c>
    </row>
    <row r="2" spans="1:18" x14ac:dyDescent="0.25">
      <c r="A2" t="s">
        <v>1</v>
      </c>
      <c r="B2">
        <f>SUM(C2:R2)</f>
        <v>2</v>
      </c>
      <c r="C2">
        <v>0</v>
      </c>
      <c r="D2">
        <v>0</v>
      </c>
      <c r="E2">
        <v>1</v>
      </c>
      <c r="F2">
        <v>1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</row>
    <row r="3" spans="1:18" x14ac:dyDescent="0.25">
      <c r="A3" t="s">
        <v>2</v>
      </c>
      <c r="B3">
        <f t="shared" ref="B3:B18" si="0">SUM(C3:R3)</f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</row>
    <row r="4" spans="1:18" x14ac:dyDescent="0.25">
      <c r="A4" t="s">
        <v>4</v>
      </c>
      <c r="B4">
        <f t="shared" si="0"/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1</v>
      </c>
      <c r="K4">
        <v>0</v>
      </c>
      <c r="L4">
        <v>0</v>
      </c>
      <c r="M4">
        <v>0</v>
      </c>
      <c r="N4">
        <v>1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6</v>
      </c>
      <c r="B5">
        <f t="shared" si="0"/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</row>
    <row r="6" spans="1:18" x14ac:dyDescent="0.25">
      <c r="A6" t="s">
        <v>9</v>
      </c>
      <c r="B6">
        <f t="shared" si="0"/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</row>
    <row r="7" spans="1:18" x14ac:dyDescent="0.25">
      <c r="A7" t="s">
        <v>10</v>
      </c>
      <c r="B7">
        <f t="shared" si="0"/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</row>
    <row r="8" spans="1:18" x14ac:dyDescent="0.25">
      <c r="A8" t="s">
        <v>12</v>
      </c>
      <c r="B8">
        <f t="shared" si="0"/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</row>
    <row r="9" spans="1:18" x14ac:dyDescent="0.25">
      <c r="A9" t="s">
        <v>14</v>
      </c>
      <c r="B9">
        <f t="shared" si="0"/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</row>
    <row r="10" spans="1:18" x14ac:dyDescent="0.25">
      <c r="A10" t="s">
        <v>15</v>
      </c>
      <c r="B10">
        <f t="shared" si="0"/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</row>
    <row r="11" spans="1:18" x14ac:dyDescent="0.25">
      <c r="A11" t="s">
        <v>16</v>
      </c>
      <c r="B11">
        <f t="shared" si="0"/>
        <v>4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1</v>
      </c>
      <c r="R11">
        <v>0</v>
      </c>
    </row>
    <row r="12" spans="1:18" x14ac:dyDescent="0.25">
      <c r="A12" t="s">
        <v>52</v>
      </c>
      <c r="B12">
        <f t="shared" si="0"/>
        <v>2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1</v>
      </c>
      <c r="J12">
        <v>0</v>
      </c>
      <c r="K12">
        <v>0</v>
      </c>
      <c r="L12">
        <v>0</v>
      </c>
      <c r="M12">
        <v>0</v>
      </c>
      <c r="N12">
        <v>0</v>
      </c>
      <c r="O12">
        <v>1</v>
      </c>
      <c r="P12">
        <v>0</v>
      </c>
      <c r="Q12">
        <v>0</v>
      </c>
      <c r="R12">
        <v>0</v>
      </c>
    </row>
    <row r="13" spans="1:18" x14ac:dyDescent="0.25">
      <c r="A13" t="s">
        <v>21</v>
      </c>
      <c r="B13">
        <f t="shared" si="0"/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</row>
    <row r="14" spans="1:18" x14ac:dyDescent="0.25">
      <c r="A14" t="s">
        <v>45</v>
      </c>
      <c r="B14">
        <f t="shared" si="0"/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</row>
    <row r="15" spans="1:18" x14ac:dyDescent="0.25">
      <c r="A15" t="s">
        <v>50</v>
      </c>
      <c r="B15">
        <f t="shared" si="0"/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</row>
    <row r="16" spans="1:18" x14ac:dyDescent="0.25">
      <c r="A16" t="s">
        <v>61</v>
      </c>
      <c r="B16">
        <f t="shared" si="0"/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</row>
    <row r="17" spans="1:18" x14ac:dyDescent="0.25">
      <c r="A17" t="s">
        <v>65</v>
      </c>
      <c r="B17">
        <f t="shared" si="0"/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</row>
    <row r="18" spans="1:18" x14ac:dyDescent="0.25">
      <c r="A18" t="s">
        <v>89</v>
      </c>
      <c r="B18">
        <f t="shared" si="0"/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C06B72-571E-40C4-AD69-3294909EA05A}">
  <dimension ref="A1:S19"/>
  <sheetViews>
    <sheetView zoomScale="70" zoomScaleNormal="70" workbookViewId="0">
      <selection activeCell="I41" sqref="I41"/>
    </sheetView>
  </sheetViews>
  <sheetFormatPr defaultRowHeight="15" x14ac:dyDescent="0.25"/>
  <cols>
    <col min="1" max="1" width="20.7109375" bestFit="1" customWidth="1"/>
    <col min="17" max="17" width="12.42578125" bestFit="1" customWidth="1"/>
    <col min="18" max="18" width="6.28515625" bestFit="1" customWidth="1"/>
    <col min="19" max="19" width="9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26</v>
      </c>
      <c r="E1" t="s">
        <v>27</v>
      </c>
      <c r="F1" t="s">
        <v>33</v>
      </c>
      <c r="G1" t="s">
        <v>28</v>
      </c>
      <c r="H1" t="s">
        <v>32</v>
      </c>
      <c r="I1" t="s">
        <v>30</v>
      </c>
      <c r="J1" t="s">
        <v>31</v>
      </c>
      <c r="K1" t="s">
        <v>34</v>
      </c>
      <c r="L1" t="s">
        <v>29</v>
      </c>
      <c r="M1" t="s">
        <v>35</v>
      </c>
      <c r="N1" t="s">
        <v>36</v>
      </c>
      <c r="O1" t="s">
        <v>37</v>
      </c>
      <c r="P1" t="s">
        <v>38</v>
      </c>
      <c r="Q1" t="s">
        <v>39</v>
      </c>
      <c r="R1" t="s">
        <v>40</v>
      </c>
      <c r="S1" t="s">
        <v>25</v>
      </c>
    </row>
    <row r="2" spans="1:19" x14ac:dyDescent="0.25">
      <c r="A2" t="s">
        <v>1</v>
      </c>
      <c r="B2">
        <f>SUM(C2:S2)</f>
        <v>9</v>
      </c>
      <c r="C2">
        <v>1</v>
      </c>
      <c r="D2">
        <v>1</v>
      </c>
      <c r="E2">
        <v>1</v>
      </c>
      <c r="F2">
        <v>0</v>
      </c>
      <c r="G2">
        <v>0</v>
      </c>
      <c r="H2">
        <v>1</v>
      </c>
      <c r="I2">
        <v>0</v>
      </c>
      <c r="J2">
        <v>1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1</v>
      </c>
      <c r="R2">
        <v>1</v>
      </c>
      <c r="S2">
        <v>1</v>
      </c>
    </row>
    <row r="3" spans="1:19" x14ac:dyDescent="0.25">
      <c r="A3" t="s">
        <v>2</v>
      </c>
      <c r="B3">
        <f t="shared" ref="B3:B19" si="0">SUM(C3:S3)</f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t="s">
        <v>4</v>
      </c>
      <c r="B4">
        <f t="shared" si="0"/>
        <v>3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1</v>
      </c>
      <c r="J4">
        <v>0</v>
      </c>
      <c r="K4">
        <v>1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6</v>
      </c>
      <c r="B5">
        <f t="shared" si="0"/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8</v>
      </c>
      <c r="B6">
        <f t="shared" si="0"/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9</v>
      </c>
      <c r="B7">
        <f t="shared" si="0"/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10</v>
      </c>
      <c r="B8">
        <f t="shared" si="0"/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11</v>
      </c>
      <c r="B9">
        <f t="shared" si="0"/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12</v>
      </c>
      <c r="B10">
        <f t="shared" si="0"/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14</v>
      </c>
      <c r="B11">
        <f t="shared" si="0"/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15</v>
      </c>
      <c r="B12">
        <f t="shared" si="0"/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16</v>
      </c>
      <c r="B13">
        <f t="shared" si="0"/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52</v>
      </c>
      <c r="B14">
        <f t="shared" si="0"/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21</v>
      </c>
      <c r="B15">
        <f t="shared" si="0"/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45</v>
      </c>
      <c r="B16">
        <f t="shared" si="0"/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50</v>
      </c>
      <c r="B17">
        <f t="shared" si="0"/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61</v>
      </c>
      <c r="B18">
        <f t="shared" si="0"/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65</v>
      </c>
      <c r="B19">
        <f t="shared" si="0"/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63DBD5-1047-4E7D-B3B5-A719C2F7680D}">
  <dimension ref="A1:S21"/>
  <sheetViews>
    <sheetView zoomScale="85" zoomScaleNormal="85" workbookViewId="0">
      <selection activeCell="I45" sqref="I45"/>
    </sheetView>
  </sheetViews>
  <sheetFormatPr defaultRowHeight="15" x14ac:dyDescent="0.25"/>
  <cols>
    <col min="1" max="1" width="20.7109375" bestFit="1" customWidth="1"/>
    <col min="18" max="18" width="12.42578125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34</v>
      </c>
      <c r="M1" t="s">
        <v>33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x14ac:dyDescent="0.25">
      <c r="A2" t="s">
        <v>1</v>
      </c>
      <c r="B2">
        <f>SUM(C2:S2)</f>
        <v>9</v>
      </c>
      <c r="C2">
        <v>1</v>
      </c>
      <c r="D2">
        <v>1</v>
      </c>
      <c r="E2">
        <v>0</v>
      </c>
      <c r="F2">
        <v>0</v>
      </c>
      <c r="G2">
        <v>1</v>
      </c>
      <c r="H2">
        <v>0</v>
      </c>
      <c r="I2">
        <v>1</v>
      </c>
      <c r="J2">
        <v>0</v>
      </c>
      <c r="K2">
        <v>1</v>
      </c>
      <c r="L2">
        <v>1</v>
      </c>
      <c r="M2">
        <v>0</v>
      </c>
      <c r="N2">
        <v>0</v>
      </c>
      <c r="O2">
        <v>1</v>
      </c>
      <c r="P2">
        <v>1</v>
      </c>
      <c r="Q2">
        <v>0</v>
      </c>
      <c r="R2">
        <v>0</v>
      </c>
      <c r="S2">
        <v>1</v>
      </c>
    </row>
    <row r="3" spans="1:19" x14ac:dyDescent="0.25">
      <c r="A3" t="s">
        <v>2</v>
      </c>
      <c r="B3">
        <f t="shared" ref="B3:B21" si="0">SUM(C3:S3)</f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 x14ac:dyDescent="0.25">
      <c r="A4" t="s">
        <v>3</v>
      </c>
      <c r="B4">
        <f t="shared" si="0"/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4</v>
      </c>
      <c r="B5">
        <f t="shared" si="0"/>
        <v>2</v>
      </c>
      <c r="C5">
        <v>0</v>
      </c>
      <c r="D5">
        <v>0</v>
      </c>
      <c r="E5">
        <v>1</v>
      </c>
      <c r="F5">
        <v>0</v>
      </c>
      <c r="G5">
        <v>0</v>
      </c>
      <c r="H5">
        <v>1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5</v>
      </c>
      <c r="B6">
        <f t="shared" si="0"/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25">
      <c r="A7" t="s">
        <v>6</v>
      </c>
      <c r="B7">
        <f t="shared" si="0"/>
        <v>3</v>
      </c>
      <c r="C7">
        <v>0</v>
      </c>
      <c r="D7">
        <v>0</v>
      </c>
      <c r="E7">
        <v>0</v>
      </c>
      <c r="F7">
        <v>1</v>
      </c>
      <c r="G7">
        <v>0</v>
      </c>
      <c r="H7">
        <v>0</v>
      </c>
      <c r="I7">
        <v>0</v>
      </c>
      <c r="J7">
        <v>1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8</v>
      </c>
      <c r="B8">
        <f t="shared" si="0"/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9</v>
      </c>
      <c r="B9">
        <f t="shared" si="0"/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10</v>
      </c>
      <c r="B10">
        <f t="shared" si="0"/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11</v>
      </c>
      <c r="B11">
        <f t="shared" si="0"/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12</v>
      </c>
      <c r="B12">
        <f t="shared" si="0"/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14</v>
      </c>
      <c r="B13">
        <f t="shared" si="0"/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15</v>
      </c>
      <c r="B14">
        <f t="shared" si="0"/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16</v>
      </c>
      <c r="B15">
        <f t="shared" si="0"/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18</v>
      </c>
      <c r="B16">
        <f t="shared" si="0"/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19</v>
      </c>
      <c r="B17">
        <f t="shared" si="0"/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52</v>
      </c>
      <c r="B18">
        <f t="shared" si="0"/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44</v>
      </c>
      <c r="B19">
        <f t="shared" si="0"/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45</v>
      </c>
      <c r="B20">
        <f t="shared" si="0"/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61</v>
      </c>
      <c r="B21">
        <f t="shared" si="0"/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3FD00-70E4-44ED-874D-48591AC61FE1}">
  <dimension ref="A1:S24"/>
  <sheetViews>
    <sheetView zoomScale="70" zoomScaleNormal="70" workbookViewId="0">
      <selection activeCell="H62" sqref="H62"/>
    </sheetView>
  </sheetViews>
  <sheetFormatPr defaultRowHeight="15" x14ac:dyDescent="0.25"/>
  <cols>
    <col min="1" max="1" width="19.28515625" bestFit="1" customWidth="1"/>
    <col min="6" max="6" width="9.85546875" bestFit="1" customWidth="1"/>
    <col min="12" max="12" width="11.140625" bestFit="1" customWidth="1"/>
    <col min="18" max="18" width="11.5703125" bestFit="1" customWidth="1"/>
  </cols>
  <sheetData>
    <row r="1" spans="1:19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33</v>
      </c>
      <c r="M1" t="s">
        <v>34</v>
      </c>
      <c r="N1" t="s">
        <v>35</v>
      </c>
      <c r="O1" t="s">
        <v>36</v>
      </c>
      <c r="P1" t="s">
        <v>37</v>
      </c>
      <c r="Q1" t="s">
        <v>38</v>
      </c>
      <c r="R1" t="s">
        <v>39</v>
      </c>
      <c r="S1" t="s">
        <v>40</v>
      </c>
    </row>
    <row r="2" spans="1:19" x14ac:dyDescent="0.25">
      <c r="A2" t="s">
        <v>1</v>
      </c>
      <c r="B2">
        <f>SUM(C2:C2:S2)</f>
        <v>11</v>
      </c>
      <c r="C2">
        <v>1</v>
      </c>
      <c r="D2">
        <v>0</v>
      </c>
      <c r="E2">
        <v>1</v>
      </c>
      <c r="F2">
        <v>1</v>
      </c>
      <c r="G2">
        <v>1</v>
      </c>
      <c r="H2">
        <v>1</v>
      </c>
      <c r="I2">
        <v>0</v>
      </c>
      <c r="J2">
        <v>1</v>
      </c>
      <c r="K2">
        <v>0</v>
      </c>
      <c r="L2">
        <v>1</v>
      </c>
      <c r="M2">
        <v>1</v>
      </c>
      <c r="N2">
        <v>1</v>
      </c>
      <c r="O2">
        <v>0</v>
      </c>
      <c r="P2">
        <v>1</v>
      </c>
      <c r="Q2">
        <v>0</v>
      </c>
      <c r="R2">
        <v>0</v>
      </c>
      <c r="S2">
        <v>1</v>
      </c>
    </row>
    <row r="3" spans="1:19" x14ac:dyDescent="0.25">
      <c r="A3" t="s">
        <v>2</v>
      </c>
      <c r="B3">
        <f>SUM(C3:C3:S3)</f>
        <v>4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0</v>
      </c>
      <c r="M3">
        <v>0</v>
      </c>
      <c r="N3">
        <v>0</v>
      </c>
      <c r="O3">
        <v>1</v>
      </c>
      <c r="P3">
        <v>0</v>
      </c>
      <c r="Q3">
        <v>1</v>
      </c>
      <c r="R3">
        <v>1</v>
      </c>
      <c r="S3">
        <v>0</v>
      </c>
    </row>
    <row r="4" spans="1:19" x14ac:dyDescent="0.25">
      <c r="A4" t="s">
        <v>3</v>
      </c>
      <c r="B4">
        <f>SUM(C4:C4:S4)</f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 x14ac:dyDescent="0.25">
      <c r="A5" t="s">
        <v>4</v>
      </c>
      <c r="B5">
        <f>SUM(C5:C5:S5)</f>
        <v>1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 x14ac:dyDescent="0.25">
      <c r="A6" t="s">
        <v>5</v>
      </c>
      <c r="B6">
        <f>SUM(C6:C6:S6)</f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</row>
    <row r="7" spans="1:19" x14ac:dyDescent="0.25">
      <c r="A7" t="s">
        <v>6</v>
      </c>
      <c r="B7">
        <f>SUM(C7:C7:S7)</f>
        <v>1</v>
      </c>
      <c r="C7">
        <v>0</v>
      </c>
      <c r="D7">
        <v>1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 x14ac:dyDescent="0.25">
      <c r="A8" t="s">
        <v>7</v>
      </c>
      <c r="B8">
        <f>SUM(C8:C8:S8)</f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 x14ac:dyDescent="0.25">
      <c r="A9" t="s">
        <v>8</v>
      </c>
      <c r="B9">
        <f>SUM(C9:C9:S9)</f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 x14ac:dyDescent="0.25">
      <c r="A10" t="s">
        <v>9</v>
      </c>
      <c r="B10">
        <f>SUM(C10:C10:S10)</f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 x14ac:dyDescent="0.25">
      <c r="A11" t="s">
        <v>10</v>
      </c>
      <c r="B11">
        <f>SUM(C11:C11:S11)</f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25">
      <c r="A12" t="s">
        <v>11</v>
      </c>
      <c r="B12">
        <f>SUM(C12:C12:S12)</f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</row>
    <row r="13" spans="1:19" x14ac:dyDescent="0.25">
      <c r="A13" t="s">
        <v>12</v>
      </c>
      <c r="B13">
        <f>SUM(C13:C13:S13)</f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25">
      <c r="A14" t="s">
        <v>13</v>
      </c>
      <c r="B14">
        <f>SUM(C14:C14:S14)</f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</row>
    <row r="15" spans="1:19" x14ac:dyDescent="0.25">
      <c r="A15" t="s">
        <v>14</v>
      </c>
      <c r="B15">
        <f>SUM(C15:C15:S15)</f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</row>
    <row r="16" spans="1:19" x14ac:dyDescent="0.25">
      <c r="A16" t="s">
        <v>15</v>
      </c>
      <c r="B16">
        <f>SUM(C16:C16:S16)</f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</row>
    <row r="17" spans="1:19" x14ac:dyDescent="0.25">
      <c r="A17" t="s">
        <v>16</v>
      </c>
      <c r="B17">
        <f>SUM(C17:C17:S17)</f>
        <v>0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</row>
    <row r="18" spans="1:19" x14ac:dyDescent="0.25">
      <c r="A18" t="s">
        <v>17</v>
      </c>
      <c r="B18">
        <f>SUM(C18:C18:S18)</f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</row>
    <row r="19" spans="1:19" x14ac:dyDescent="0.25">
      <c r="A19" t="s">
        <v>49</v>
      </c>
      <c r="B19">
        <f>SUM(C19:C19:S19)</f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</row>
    <row r="20" spans="1:19" x14ac:dyDescent="0.25">
      <c r="A20" t="s">
        <v>18</v>
      </c>
      <c r="B20">
        <f>SUM(C20:C20:S20)</f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</row>
    <row r="21" spans="1:19" x14ac:dyDescent="0.25">
      <c r="A21" t="s">
        <v>19</v>
      </c>
      <c r="B21">
        <f>SUM(C21:C21:S21)</f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</row>
    <row r="22" spans="1:19" x14ac:dyDescent="0.25">
      <c r="A22" t="s">
        <v>20</v>
      </c>
      <c r="B22">
        <f>SUM(C22:C22:S22)</f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25">
      <c r="A23" t="s">
        <v>21</v>
      </c>
      <c r="B23">
        <f>SUM(C23:C23:S23)</f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</row>
    <row r="24" spans="1:19" x14ac:dyDescent="0.25">
      <c r="A24" t="s">
        <v>22</v>
      </c>
      <c r="B24">
        <f>SUM(C24:C24:S24)</f>
        <v>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D4303C-7F1D-4CBD-BF56-16C815E789BE}">
  <dimension ref="A1:R25"/>
  <sheetViews>
    <sheetView zoomScale="85" zoomScaleNormal="85" workbookViewId="0">
      <selection activeCell="H7" sqref="H7"/>
    </sheetView>
  </sheetViews>
  <sheetFormatPr defaultRowHeight="15" x14ac:dyDescent="0.25"/>
  <cols>
    <col min="1" max="1" width="20.7109375" bestFit="1" customWidth="1"/>
    <col min="2" max="2" width="4.85546875" bestFit="1" customWidth="1"/>
    <col min="3" max="4" width="9" bestFit="1" customWidth="1"/>
    <col min="5" max="5" width="6" bestFit="1" customWidth="1"/>
    <col min="6" max="6" width="11" bestFit="1" customWidth="1"/>
    <col min="7" max="7" width="6" bestFit="1" customWidth="1"/>
    <col min="8" max="8" width="7.28515625" bestFit="1" customWidth="1"/>
    <col min="9" max="9" width="8.140625" bestFit="1" customWidth="1"/>
    <col min="10" max="10" width="7.85546875" bestFit="1" customWidth="1"/>
    <col min="11" max="11" width="7.140625" bestFit="1" customWidth="1"/>
    <col min="12" max="12" width="7" bestFit="1" customWidth="1"/>
    <col min="13" max="13" width="12" bestFit="1" customWidth="1"/>
    <col min="14" max="14" width="8.85546875" bestFit="1" customWidth="1"/>
    <col min="15" max="15" width="8.28515625" bestFit="1" customWidth="1"/>
    <col min="16" max="16" width="4.7109375" bestFit="1" customWidth="1"/>
    <col min="17" max="17" width="12.42578125" bestFit="1" customWidth="1"/>
    <col min="18" max="18" width="6.28515625" bestFit="1" customWidth="1"/>
  </cols>
  <sheetData>
    <row r="1" spans="1:18" x14ac:dyDescent="0.25">
      <c r="A1" t="s">
        <v>0</v>
      </c>
      <c r="B1" t="s">
        <v>23</v>
      </c>
      <c r="C1" t="s">
        <v>24</v>
      </c>
      <c r="D1" t="s">
        <v>25</v>
      </c>
      <c r="E1" t="s">
        <v>26</v>
      </c>
      <c r="F1" t="s">
        <v>27</v>
      </c>
      <c r="G1" t="s">
        <v>28</v>
      </c>
      <c r="H1" t="s">
        <v>29</v>
      </c>
      <c r="I1" t="s">
        <v>30</v>
      </c>
      <c r="J1" t="s">
        <v>31</v>
      </c>
      <c r="K1" t="s">
        <v>32</v>
      </c>
      <c r="L1" t="s">
        <v>34</v>
      </c>
      <c r="M1" t="s">
        <v>33</v>
      </c>
      <c r="N1" t="s">
        <v>35</v>
      </c>
      <c r="O1" t="s">
        <v>36</v>
      </c>
      <c r="P1" t="s">
        <v>38</v>
      </c>
      <c r="Q1" t="s">
        <v>39</v>
      </c>
      <c r="R1" t="s">
        <v>40</v>
      </c>
    </row>
    <row r="2" spans="1:18" x14ac:dyDescent="0.25">
      <c r="A2" t="s">
        <v>1</v>
      </c>
      <c r="B2">
        <f>SUM(C2:R2)</f>
        <v>6</v>
      </c>
      <c r="F2">
        <v>1</v>
      </c>
      <c r="G2">
        <v>1</v>
      </c>
      <c r="H2">
        <v>1</v>
      </c>
      <c r="J2">
        <v>1</v>
      </c>
      <c r="P2">
        <v>1</v>
      </c>
      <c r="Q2">
        <v>1</v>
      </c>
    </row>
    <row r="3" spans="1:18" x14ac:dyDescent="0.25">
      <c r="A3" t="s">
        <v>3</v>
      </c>
      <c r="B3">
        <f t="shared" ref="B3:B25" si="0">SUM(C3:R3)</f>
        <v>1</v>
      </c>
      <c r="D3">
        <v>1</v>
      </c>
    </row>
    <row r="4" spans="1:18" x14ac:dyDescent="0.25">
      <c r="A4" t="s">
        <v>5</v>
      </c>
      <c r="B4">
        <f t="shared" si="0"/>
        <v>2</v>
      </c>
      <c r="I4">
        <v>1</v>
      </c>
      <c r="N4">
        <v>1</v>
      </c>
    </row>
    <row r="5" spans="1:18" x14ac:dyDescent="0.25">
      <c r="A5" t="s">
        <v>2</v>
      </c>
      <c r="B5">
        <f t="shared" si="0"/>
        <v>2</v>
      </c>
      <c r="M5">
        <v>1</v>
      </c>
      <c r="R5">
        <v>1</v>
      </c>
    </row>
    <row r="6" spans="1:18" x14ac:dyDescent="0.25">
      <c r="A6" t="s">
        <v>6</v>
      </c>
      <c r="B6">
        <f t="shared" si="0"/>
        <v>2</v>
      </c>
      <c r="K6">
        <v>1</v>
      </c>
      <c r="L6">
        <v>1</v>
      </c>
    </row>
    <row r="7" spans="1:18" x14ac:dyDescent="0.25">
      <c r="A7" t="s">
        <v>51</v>
      </c>
      <c r="B7">
        <f t="shared" si="0"/>
        <v>1</v>
      </c>
      <c r="O7">
        <v>1</v>
      </c>
    </row>
    <row r="8" spans="1:18" x14ac:dyDescent="0.25">
      <c r="A8" t="s">
        <v>4</v>
      </c>
      <c r="B8">
        <f t="shared" si="0"/>
        <v>1</v>
      </c>
      <c r="C8">
        <v>1</v>
      </c>
    </row>
    <row r="9" spans="1:18" x14ac:dyDescent="0.25">
      <c r="A9" t="s">
        <v>12</v>
      </c>
      <c r="B9">
        <f t="shared" si="0"/>
        <v>0</v>
      </c>
    </row>
    <row r="10" spans="1:18" x14ac:dyDescent="0.25">
      <c r="A10" t="s">
        <v>11</v>
      </c>
      <c r="B10">
        <f t="shared" si="0"/>
        <v>0</v>
      </c>
    </row>
    <row r="11" spans="1:18" x14ac:dyDescent="0.25">
      <c r="A11" t="s">
        <v>17</v>
      </c>
      <c r="B11">
        <f t="shared" si="0"/>
        <v>0</v>
      </c>
    </row>
    <row r="12" spans="1:18" x14ac:dyDescent="0.25">
      <c r="A12" t="s">
        <v>52</v>
      </c>
      <c r="B12">
        <f t="shared" si="0"/>
        <v>0</v>
      </c>
    </row>
    <row r="13" spans="1:18" x14ac:dyDescent="0.25">
      <c r="A13" t="s">
        <v>14</v>
      </c>
      <c r="B13">
        <f t="shared" si="0"/>
        <v>1</v>
      </c>
      <c r="E13">
        <v>1</v>
      </c>
    </row>
    <row r="14" spans="1:18" x14ac:dyDescent="0.25">
      <c r="A14" t="s">
        <v>53</v>
      </c>
      <c r="B14">
        <f t="shared" si="0"/>
        <v>0</v>
      </c>
    </row>
    <row r="15" spans="1:18" x14ac:dyDescent="0.25">
      <c r="A15" t="s">
        <v>8</v>
      </c>
      <c r="B15">
        <f t="shared" si="0"/>
        <v>0</v>
      </c>
    </row>
    <row r="16" spans="1:18" x14ac:dyDescent="0.25">
      <c r="A16" t="s">
        <v>10</v>
      </c>
      <c r="B16">
        <f t="shared" si="0"/>
        <v>0</v>
      </c>
    </row>
    <row r="17" spans="1:2" x14ac:dyDescent="0.25">
      <c r="A17" t="s">
        <v>9</v>
      </c>
      <c r="B17">
        <f t="shared" si="0"/>
        <v>0</v>
      </c>
    </row>
    <row r="18" spans="1:2" x14ac:dyDescent="0.25">
      <c r="A18" t="s">
        <v>50</v>
      </c>
      <c r="B18">
        <f t="shared" si="0"/>
        <v>0</v>
      </c>
    </row>
    <row r="19" spans="1:2" x14ac:dyDescent="0.25">
      <c r="A19" t="s">
        <v>13</v>
      </c>
      <c r="B19">
        <f t="shared" si="0"/>
        <v>0</v>
      </c>
    </row>
    <row r="20" spans="1:2" x14ac:dyDescent="0.25">
      <c r="A20" t="s">
        <v>54</v>
      </c>
      <c r="B20">
        <f t="shared" si="0"/>
        <v>0</v>
      </c>
    </row>
    <row r="21" spans="1:2" x14ac:dyDescent="0.25">
      <c r="A21" t="s">
        <v>55</v>
      </c>
      <c r="B21">
        <f t="shared" si="0"/>
        <v>0</v>
      </c>
    </row>
    <row r="22" spans="1:2" x14ac:dyDescent="0.25">
      <c r="A22" t="s">
        <v>56</v>
      </c>
      <c r="B22">
        <f t="shared" si="0"/>
        <v>0</v>
      </c>
    </row>
    <row r="23" spans="1:2" x14ac:dyDescent="0.25">
      <c r="A23" t="s">
        <v>45</v>
      </c>
      <c r="B23">
        <f t="shared" si="0"/>
        <v>0</v>
      </c>
    </row>
    <row r="24" spans="1:2" x14ac:dyDescent="0.25">
      <c r="A24" t="s">
        <v>57</v>
      </c>
      <c r="B24">
        <f t="shared" si="0"/>
        <v>0</v>
      </c>
    </row>
    <row r="25" spans="1:2" x14ac:dyDescent="0.25">
      <c r="A25" t="s">
        <v>58</v>
      </c>
      <c r="B25">
        <f t="shared" si="0"/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0DB57-1D34-4995-8AA7-BD186A2BDBE8}">
  <dimension ref="A1:B26"/>
  <sheetViews>
    <sheetView workbookViewId="0"/>
  </sheetViews>
  <sheetFormatPr defaultRowHeight="15" x14ac:dyDescent="0.25"/>
  <cols>
    <col min="1" max="1" width="19.7109375" bestFit="1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</row>
    <row r="3" spans="1:2" x14ac:dyDescent="0.25">
      <c r="A3" t="s">
        <v>2</v>
      </c>
    </row>
    <row r="4" spans="1:2" x14ac:dyDescent="0.25">
      <c r="A4" t="s">
        <v>11</v>
      </c>
    </row>
    <row r="5" spans="1:2" x14ac:dyDescent="0.25">
      <c r="A5" t="s">
        <v>51</v>
      </c>
    </row>
    <row r="6" spans="1:2" x14ac:dyDescent="0.25">
      <c r="A6" t="s">
        <v>5</v>
      </c>
    </row>
    <row r="7" spans="1:2" x14ac:dyDescent="0.25">
      <c r="A7" t="s">
        <v>12</v>
      </c>
    </row>
    <row r="8" spans="1:2" x14ac:dyDescent="0.25">
      <c r="A8" t="s">
        <v>3</v>
      </c>
    </row>
    <row r="9" spans="1:2" x14ac:dyDescent="0.25">
      <c r="A9" t="s">
        <v>13</v>
      </c>
    </row>
    <row r="10" spans="1:2" x14ac:dyDescent="0.25">
      <c r="A10" t="s">
        <v>6</v>
      </c>
    </row>
    <row r="11" spans="1:2" x14ac:dyDescent="0.25">
      <c r="A11" t="s">
        <v>4</v>
      </c>
    </row>
    <row r="12" spans="1:2" x14ac:dyDescent="0.25">
      <c r="A12" t="s">
        <v>14</v>
      </c>
    </row>
    <row r="13" spans="1:2" x14ac:dyDescent="0.25">
      <c r="A13" t="s">
        <v>7</v>
      </c>
    </row>
    <row r="14" spans="1:2" x14ac:dyDescent="0.25">
      <c r="A14" t="s">
        <v>17</v>
      </c>
    </row>
    <row r="15" spans="1:2" x14ac:dyDescent="0.25">
      <c r="A15" t="s">
        <v>10</v>
      </c>
    </row>
    <row r="16" spans="1:2" x14ac:dyDescent="0.25">
      <c r="A16" t="s">
        <v>56</v>
      </c>
    </row>
    <row r="17" spans="1:1" x14ac:dyDescent="0.25">
      <c r="A17" t="s">
        <v>59</v>
      </c>
    </row>
    <row r="18" spans="1:1" x14ac:dyDescent="0.25">
      <c r="A18" t="s">
        <v>53</v>
      </c>
    </row>
    <row r="19" spans="1:1" x14ac:dyDescent="0.25">
      <c r="A19" t="s">
        <v>8</v>
      </c>
    </row>
    <row r="20" spans="1:1" x14ac:dyDescent="0.25">
      <c r="A20" t="s">
        <v>60</v>
      </c>
    </row>
    <row r="21" spans="1:1" x14ac:dyDescent="0.25">
      <c r="A21" t="s">
        <v>58</v>
      </c>
    </row>
    <row r="22" spans="1:1" x14ac:dyDescent="0.25">
      <c r="A22" t="s">
        <v>9</v>
      </c>
    </row>
    <row r="23" spans="1:1" x14ac:dyDescent="0.25">
      <c r="A23" t="s">
        <v>61</v>
      </c>
    </row>
    <row r="24" spans="1:1" x14ac:dyDescent="0.25">
      <c r="A24" t="s">
        <v>50</v>
      </c>
    </row>
    <row r="25" spans="1:1" x14ac:dyDescent="0.25">
      <c r="A25" t="s">
        <v>62</v>
      </c>
    </row>
    <row r="26" spans="1:1" x14ac:dyDescent="0.25">
      <c r="A26" t="s">
        <v>63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0FCB7-825F-41B0-8DBE-275FB691B4D1}">
  <dimension ref="A1:A26"/>
  <sheetViews>
    <sheetView workbookViewId="0">
      <selection activeCell="A26" sqref="A2:A2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51</v>
      </c>
    </row>
    <row r="3" spans="1:1" x14ac:dyDescent="0.25">
      <c r="A3" t="s">
        <v>3</v>
      </c>
    </row>
    <row r="4" spans="1:1" x14ac:dyDescent="0.25">
      <c r="A4" t="s">
        <v>1</v>
      </c>
    </row>
    <row r="5" spans="1:1" x14ac:dyDescent="0.25">
      <c r="A5" t="s">
        <v>5</v>
      </c>
    </row>
    <row r="6" spans="1:1" x14ac:dyDescent="0.25">
      <c r="A6" t="s">
        <v>14</v>
      </c>
    </row>
    <row r="7" spans="1:1" x14ac:dyDescent="0.25">
      <c r="A7" t="s">
        <v>6</v>
      </c>
    </row>
    <row r="8" spans="1:1" x14ac:dyDescent="0.25">
      <c r="A8" t="s">
        <v>12</v>
      </c>
    </row>
    <row r="9" spans="1:1" x14ac:dyDescent="0.25">
      <c r="A9" t="s">
        <v>2</v>
      </c>
    </row>
    <row r="10" spans="1:1" x14ac:dyDescent="0.25">
      <c r="A10" t="s">
        <v>11</v>
      </c>
    </row>
    <row r="11" spans="1:1" x14ac:dyDescent="0.25">
      <c r="A11" t="s">
        <v>17</v>
      </c>
    </row>
    <row r="12" spans="1:1" x14ac:dyDescent="0.25">
      <c r="A12" t="s">
        <v>8</v>
      </c>
    </row>
    <row r="13" spans="1:1" x14ac:dyDescent="0.25">
      <c r="A13" t="s">
        <v>4</v>
      </c>
    </row>
    <row r="14" spans="1:1" x14ac:dyDescent="0.25">
      <c r="A14" t="s">
        <v>7</v>
      </c>
    </row>
    <row r="15" spans="1:1" x14ac:dyDescent="0.25">
      <c r="A15" t="s">
        <v>9</v>
      </c>
    </row>
    <row r="16" spans="1:1" x14ac:dyDescent="0.25">
      <c r="A16" t="s">
        <v>59</v>
      </c>
    </row>
    <row r="17" spans="1:1" x14ac:dyDescent="0.25">
      <c r="A17" t="s">
        <v>64</v>
      </c>
    </row>
    <row r="18" spans="1:1" x14ac:dyDescent="0.25">
      <c r="A18" t="s">
        <v>65</v>
      </c>
    </row>
    <row r="19" spans="1:1" x14ac:dyDescent="0.25">
      <c r="A19" t="s">
        <v>66</v>
      </c>
    </row>
    <row r="20" spans="1:1" x14ac:dyDescent="0.25">
      <c r="A20" t="s">
        <v>67</v>
      </c>
    </row>
    <row r="21" spans="1:1" x14ac:dyDescent="0.25">
      <c r="A21" t="s">
        <v>15</v>
      </c>
    </row>
    <row r="22" spans="1:1" x14ac:dyDescent="0.25">
      <c r="A22" t="s">
        <v>68</v>
      </c>
    </row>
    <row r="23" spans="1:1" x14ac:dyDescent="0.25">
      <c r="A23" t="s">
        <v>56</v>
      </c>
    </row>
    <row r="24" spans="1:1" x14ac:dyDescent="0.25">
      <c r="A24" t="s">
        <v>13</v>
      </c>
    </row>
    <row r="25" spans="1:1" x14ac:dyDescent="0.25">
      <c r="A25" t="s">
        <v>69</v>
      </c>
    </row>
    <row r="26" spans="1:1" x14ac:dyDescent="0.25">
      <c r="A26" t="s">
        <v>70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C079E-583C-4AF5-A6A9-C3E86F60AFD7}">
  <dimension ref="A1:A28"/>
  <sheetViews>
    <sheetView workbookViewId="0">
      <selection activeCell="E1" sqref="E1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51</v>
      </c>
    </row>
    <row r="3" spans="1:1" x14ac:dyDescent="0.25">
      <c r="A3" t="s">
        <v>1</v>
      </c>
    </row>
    <row r="4" spans="1:1" x14ac:dyDescent="0.25">
      <c r="A4" t="s">
        <v>7</v>
      </c>
    </row>
    <row r="5" spans="1:1" x14ac:dyDescent="0.25">
      <c r="A5" t="s">
        <v>14</v>
      </c>
    </row>
    <row r="6" spans="1:1" x14ac:dyDescent="0.25">
      <c r="A6" t="s">
        <v>3</v>
      </c>
    </row>
    <row r="7" spans="1:1" x14ac:dyDescent="0.25">
      <c r="A7" t="s">
        <v>11</v>
      </c>
    </row>
    <row r="8" spans="1:1" x14ac:dyDescent="0.25">
      <c r="A8" t="s">
        <v>2</v>
      </c>
    </row>
    <row r="9" spans="1:1" x14ac:dyDescent="0.25">
      <c r="A9" t="s">
        <v>5</v>
      </c>
    </row>
    <row r="10" spans="1:1" x14ac:dyDescent="0.25">
      <c r="A10" t="s">
        <v>8</v>
      </c>
    </row>
    <row r="11" spans="1:1" x14ac:dyDescent="0.25">
      <c r="A11" t="s">
        <v>6</v>
      </c>
    </row>
    <row r="12" spans="1:1" x14ac:dyDescent="0.25">
      <c r="A12" t="s">
        <v>15</v>
      </c>
    </row>
    <row r="13" spans="1:1" x14ac:dyDescent="0.25">
      <c r="A13" t="s">
        <v>12</v>
      </c>
    </row>
    <row r="14" spans="1:1" x14ac:dyDescent="0.25">
      <c r="A14" t="s">
        <v>4</v>
      </c>
    </row>
    <row r="15" spans="1:1" x14ac:dyDescent="0.25">
      <c r="A15" t="s">
        <v>17</v>
      </c>
    </row>
    <row r="16" spans="1:1" x14ac:dyDescent="0.25">
      <c r="A16" t="s">
        <v>9</v>
      </c>
    </row>
    <row r="17" spans="1:1" x14ac:dyDescent="0.25">
      <c r="A17" t="s">
        <v>71</v>
      </c>
    </row>
    <row r="18" spans="1:1" x14ac:dyDescent="0.25">
      <c r="A18" t="s">
        <v>72</v>
      </c>
    </row>
    <row r="19" spans="1:1" x14ac:dyDescent="0.25">
      <c r="A19" t="s">
        <v>59</v>
      </c>
    </row>
    <row r="20" spans="1:1" x14ac:dyDescent="0.25">
      <c r="A20" t="s">
        <v>69</v>
      </c>
    </row>
    <row r="21" spans="1:1" x14ac:dyDescent="0.25">
      <c r="A21" t="s">
        <v>73</v>
      </c>
    </row>
    <row r="22" spans="1:1" x14ac:dyDescent="0.25">
      <c r="A22" t="s">
        <v>64</v>
      </c>
    </row>
    <row r="23" spans="1:1" x14ac:dyDescent="0.25">
      <c r="A23" t="s">
        <v>67</v>
      </c>
    </row>
    <row r="24" spans="1:1" x14ac:dyDescent="0.25">
      <c r="A24" t="s">
        <v>13</v>
      </c>
    </row>
    <row r="25" spans="1:1" x14ac:dyDescent="0.25">
      <c r="A25" t="s">
        <v>70</v>
      </c>
    </row>
    <row r="26" spans="1:1" x14ac:dyDescent="0.25">
      <c r="A26" t="s">
        <v>74</v>
      </c>
    </row>
    <row r="27" spans="1:1" x14ac:dyDescent="0.25">
      <c r="A27" t="s">
        <v>75</v>
      </c>
    </row>
    <row r="28" spans="1:1" x14ac:dyDescent="0.25">
      <c r="A28" t="s">
        <v>76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9C6E86-EC8A-4EA5-A30B-4A7F0858E0A5}">
  <dimension ref="A1:A26"/>
  <sheetViews>
    <sheetView workbookViewId="0">
      <selection activeCell="D21" sqref="D21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3</v>
      </c>
    </row>
    <row r="3" spans="1:1" x14ac:dyDescent="0.25">
      <c r="A3" t="s">
        <v>77</v>
      </c>
    </row>
    <row r="4" spans="1:1" x14ac:dyDescent="0.25">
      <c r="A4" t="s">
        <v>51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71</v>
      </c>
    </row>
    <row r="8" spans="1:1" x14ac:dyDescent="0.25">
      <c r="A8" t="s">
        <v>78</v>
      </c>
    </row>
    <row r="9" spans="1:1" x14ac:dyDescent="0.25">
      <c r="A9" t="s">
        <v>14</v>
      </c>
    </row>
    <row r="10" spans="1:1" x14ac:dyDescent="0.25">
      <c r="A10" t="s">
        <v>72</v>
      </c>
    </row>
    <row r="11" spans="1:1" x14ac:dyDescent="0.25">
      <c r="A11" t="s">
        <v>4</v>
      </c>
    </row>
    <row r="12" spans="1:1" x14ac:dyDescent="0.25">
      <c r="A12" t="s">
        <v>65</v>
      </c>
    </row>
    <row r="13" spans="1:1" x14ac:dyDescent="0.25">
      <c r="A13" t="s">
        <v>17</v>
      </c>
    </row>
    <row r="14" spans="1:1" x14ac:dyDescent="0.25">
      <c r="A14" t="s">
        <v>12</v>
      </c>
    </row>
    <row r="15" spans="1:1" x14ac:dyDescent="0.25">
      <c r="A15" t="s">
        <v>79</v>
      </c>
    </row>
    <row r="16" spans="1:1" x14ac:dyDescent="0.25">
      <c r="A16" t="s">
        <v>11</v>
      </c>
    </row>
    <row r="17" spans="1:1" x14ac:dyDescent="0.25">
      <c r="A17" t="s">
        <v>6</v>
      </c>
    </row>
    <row r="18" spans="1:1" x14ac:dyDescent="0.25">
      <c r="A18" t="s">
        <v>13</v>
      </c>
    </row>
    <row r="19" spans="1:1" x14ac:dyDescent="0.25">
      <c r="A19" t="s">
        <v>69</v>
      </c>
    </row>
    <row r="20" spans="1:1" x14ac:dyDescent="0.25">
      <c r="A20" t="s">
        <v>80</v>
      </c>
    </row>
    <row r="21" spans="1:1" x14ac:dyDescent="0.25">
      <c r="A21" t="s">
        <v>2</v>
      </c>
    </row>
    <row r="22" spans="1:1" x14ac:dyDescent="0.25">
      <c r="A22" t="s">
        <v>73</v>
      </c>
    </row>
    <row r="23" spans="1:1" x14ac:dyDescent="0.25">
      <c r="A23" t="s">
        <v>81</v>
      </c>
    </row>
    <row r="24" spans="1:1" x14ac:dyDescent="0.25">
      <c r="A24" t="s">
        <v>82</v>
      </c>
    </row>
    <row r="25" spans="1:1" x14ac:dyDescent="0.25">
      <c r="A25" t="s">
        <v>75</v>
      </c>
    </row>
    <row r="26" spans="1:1" x14ac:dyDescent="0.25">
      <c r="A26" t="s">
        <v>67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342EC0-9A20-4134-BF81-DC6CEEC14B92}">
  <dimension ref="A1:A23"/>
  <sheetViews>
    <sheetView workbookViewId="0"/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77</v>
      </c>
    </row>
    <row r="3" spans="1:1" x14ac:dyDescent="0.25">
      <c r="A3" t="s">
        <v>7</v>
      </c>
    </row>
    <row r="4" spans="1:1" x14ac:dyDescent="0.25">
      <c r="A4" t="s">
        <v>3</v>
      </c>
    </row>
    <row r="5" spans="1:1" x14ac:dyDescent="0.25">
      <c r="A5" t="s">
        <v>71</v>
      </c>
    </row>
    <row r="6" spans="1:1" x14ac:dyDescent="0.25">
      <c r="A6" t="s">
        <v>51</v>
      </c>
    </row>
    <row r="7" spans="1:1" x14ac:dyDescent="0.25">
      <c r="A7" t="s">
        <v>8</v>
      </c>
    </row>
    <row r="8" spans="1:1" x14ac:dyDescent="0.25">
      <c r="A8" t="s">
        <v>78</v>
      </c>
    </row>
    <row r="9" spans="1:1" x14ac:dyDescent="0.25">
      <c r="A9" t="s">
        <v>79</v>
      </c>
    </row>
    <row r="10" spans="1:1" x14ac:dyDescent="0.25">
      <c r="A10" t="s">
        <v>12</v>
      </c>
    </row>
    <row r="11" spans="1:1" x14ac:dyDescent="0.25">
      <c r="A11" t="s">
        <v>60</v>
      </c>
    </row>
    <row r="12" spans="1:1" x14ac:dyDescent="0.25">
      <c r="A12" t="s">
        <v>17</v>
      </c>
    </row>
    <row r="13" spans="1:1" x14ac:dyDescent="0.25">
      <c r="A13" t="s">
        <v>83</v>
      </c>
    </row>
    <row r="14" spans="1:1" x14ac:dyDescent="0.25">
      <c r="A14" t="s">
        <v>72</v>
      </c>
    </row>
    <row r="15" spans="1:1" x14ac:dyDescent="0.25">
      <c r="A15" t="s">
        <v>2</v>
      </c>
    </row>
    <row r="16" spans="1:1" x14ac:dyDescent="0.25">
      <c r="A16" t="s">
        <v>81</v>
      </c>
    </row>
    <row r="17" spans="1:1" x14ac:dyDescent="0.25">
      <c r="A17" t="s">
        <v>4</v>
      </c>
    </row>
    <row r="18" spans="1:1" x14ac:dyDescent="0.25">
      <c r="A18" t="s">
        <v>84</v>
      </c>
    </row>
    <row r="19" spans="1:1" x14ac:dyDescent="0.25">
      <c r="A19" t="s">
        <v>11</v>
      </c>
    </row>
    <row r="20" spans="1:1" x14ac:dyDescent="0.25">
      <c r="A20" t="s">
        <v>14</v>
      </c>
    </row>
    <row r="21" spans="1:1" x14ac:dyDescent="0.25">
      <c r="A21" t="s">
        <v>80</v>
      </c>
    </row>
    <row r="22" spans="1:1" x14ac:dyDescent="0.25">
      <c r="A22" t="s">
        <v>13</v>
      </c>
    </row>
    <row r="23" spans="1:1" x14ac:dyDescent="0.25">
      <c r="A23" t="s">
        <v>82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6B976-1DE3-4828-AFA3-C2C8CE6A8C8D}">
  <dimension ref="A1:A26"/>
  <sheetViews>
    <sheetView workbookViewId="0">
      <selection activeCell="A61" sqref="A61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11</v>
      </c>
    </row>
    <row r="3" spans="1:1" x14ac:dyDescent="0.25">
      <c r="A3" t="s">
        <v>79</v>
      </c>
    </row>
    <row r="4" spans="1:1" x14ac:dyDescent="0.25">
      <c r="A4" t="s">
        <v>2</v>
      </c>
    </row>
    <row r="5" spans="1:1" x14ac:dyDescent="0.25">
      <c r="A5" t="s">
        <v>17</v>
      </c>
    </row>
    <row r="6" spans="1:1" x14ac:dyDescent="0.25">
      <c r="A6" t="s">
        <v>77</v>
      </c>
    </row>
    <row r="7" spans="1:1" x14ac:dyDescent="0.25">
      <c r="A7" t="s">
        <v>3</v>
      </c>
    </row>
    <row r="8" spans="1:1" x14ac:dyDescent="0.25">
      <c r="A8" t="s">
        <v>72</v>
      </c>
    </row>
    <row r="9" spans="1:1" x14ac:dyDescent="0.25">
      <c r="A9" t="s">
        <v>12</v>
      </c>
    </row>
    <row r="10" spans="1:1" x14ac:dyDescent="0.25">
      <c r="A10" t="s">
        <v>51</v>
      </c>
    </row>
    <row r="11" spans="1:1" x14ac:dyDescent="0.25">
      <c r="A11" t="s">
        <v>60</v>
      </c>
    </row>
    <row r="12" spans="1:1" x14ac:dyDescent="0.25">
      <c r="A12" t="s">
        <v>7</v>
      </c>
    </row>
    <row r="13" spans="1:1" x14ac:dyDescent="0.25">
      <c r="A13" t="s">
        <v>78</v>
      </c>
    </row>
    <row r="14" spans="1:1" x14ac:dyDescent="0.25">
      <c r="A14" t="s">
        <v>8</v>
      </c>
    </row>
    <row r="15" spans="1:1" x14ac:dyDescent="0.25">
      <c r="A15" t="s">
        <v>71</v>
      </c>
    </row>
    <row r="16" spans="1:1" x14ac:dyDescent="0.25">
      <c r="A16" t="s">
        <v>14</v>
      </c>
    </row>
    <row r="17" spans="1:1" x14ac:dyDescent="0.25">
      <c r="A17" t="s">
        <v>85</v>
      </c>
    </row>
    <row r="18" spans="1:1" x14ac:dyDescent="0.25">
      <c r="A18" t="s">
        <v>80</v>
      </c>
    </row>
    <row r="19" spans="1:1" x14ac:dyDescent="0.25">
      <c r="A19" t="s">
        <v>86</v>
      </c>
    </row>
    <row r="20" spans="1:1" x14ac:dyDescent="0.25">
      <c r="A20" t="s">
        <v>84</v>
      </c>
    </row>
    <row r="21" spans="1:1" x14ac:dyDescent="0.25">
      <c r="A21" t="s">
        <v>81</v>
      </c>
    </row>
    <row r="22" spans="1:1" x14ac:dyDescent="0.25">
      <c r="A22" t="s">
        <v>83</v>
      </c>
    </row>
    <row r="23" spans="1:1" x14ac:dyDescent="0.25">
      <c r="A23" t="s">
        <v>69</v>
      </c>
    </row>
    <row r="24" spans="1:1" x14ac:dyDescent="0.25">
      <c r="A24" t="s">
        <v>87</v>
      </c>
    </row>
    <row r="25" spans="1:1" x14ac:dyDescent="0.25">
      <c r="A25" t="s">
        <v>88</v>
      </c>
    </row>
    <row r="26" spans="1:1" x14ac:dyDescent="0.25">
      <c r="A26" t="s">
        <v>89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D15434-4874-452F-8199-FC863C296E8B}">
  <dimension ref="A1:A28"/>
  <sheetViews>
    <sheetView workbookViewId="0">
      <selection activeCell="G46" sqref="G4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79</v>
      </c>
    </row>
    <row r="3" spans="1:1" x14ac:dyDescent="0.25">
      <c r="A3" t="s">
        <v>51</v>
      </c>
    </row>
    <row r="4" spans="1:1" x14ac:dyDescent="0.25">
      <c r="A4" t="s">
        <v>17</v>
      </c>
    </row>
    <row r="5" spans="1:1" x14ac:dyDescent="0.25">
      <c r="A5" t="s">
        <v>77</v>
      </c>
    </row>
    <row r="6" spans="1:1" x14ac:dyDescent="0.25">
      <c r="A6" t="s">
        <v>11</v>
      </c>
    </row>
    <row r="7" spans="1:1" x14ac:dyDescent="0.25">
      <c r="A7" t="s">
        <v>7</v>
      </c>
    </row>
    <row r="8" spans="1:1" x14ac:dyDescent="0.25">
      <c r="A8" t="s">
        <v>72</v>
      </c>
    </row>
    <row r="9" spans="1:1" x14ac:dyDescent="0.25">
      <c r="A9" t="s">
        <v>71</v>
      </c>
    </row>
    <row r="10" spans="1:1" x14ac:dyDescent="0.25">
      <c r="A10" t="s">
        <v>1</v>
      </c>
    </row>
    <row r="11" spans="1:1" x14ac:dyDescent="0.25">
      <c r="A11" t="s">
        <v>2</v>
      </c>
    </row>
    <row r="12" spans="1:1" x14ac:dyDescent="0.25">
      <c r="A12" t="s">
        <v>80</v>
      </c>
    </row>
    <row r="13" spans="1:1" x14ac:dyDescent="0.25">
      <c r="A13" t="s">
        <v>86</v>
      </c>
    </row>
    <row r="14" spans="1:1" x14ac:dyDescent="0.25">
      <c r="A14" t="s">
        <v>90</v>
      </c>
    </row>
    <row r="15" spans="1:1" x14ac:dyDescent="0.25">
      <c r="A15" t="s">
        <v>91</v>
      </c>
    </row>
    <row r="16" spans="1:1" x14ac:dyDescent="0.25">
      <c r="A16" t="s">
        <v>69</v>
      </c>
    </row>
    <row r="17" spans="1:1" x14ac:dyDescent="0.25">
      <c r="A17" t="s">
        <v>85</v>
      </c>
    </row>
    <row r="18" spans="1:1" x14ac:dyDescent="0.25">
      <c r="A18" t="s">
        <v>15</v>
      </c>
    </row>
    <row r="19" spans="1:1" x14ac:dyDescent="0.25">
      <c r="A19" t="s">
        <v>8</v>
      </c>
    </row>
    <row r="20" spans="1:1" x14ac:dyDescent="0.25">
      <c r="A20" t="s">
        <v>88</v>
      </c>
    </row>
    <row r="21" spans="1:1" x14ac:dyDescent="0.25">
      <c r="A21" t="s">
        <v>78</v>
      </c>
    </row>
    <row r="22" spans="1:1" x14ac:dyDescent="0.25">
      <c r="A22" t="s">
        <v>12</v>
      </c>
    </row>
    <row r="23" spans="1:1" x14ac:dyDescent="0.25">
      <c r="A23" t="s">
        <v>92</v>
      </c>
    </row>
    <row r="24" spans="1:1" x14ac:dyDescent="0.25">
      <c r="A24" t="s">
        <v>93</v>
      </c>
    </row>
    <row r="25" spans="1:1" x14ac:dyDescent="0.25">
      <c r="A25" t="s">
        <v>94</v>
      </c>
    </row>
    <row r="26" spans="1:1" x14ac:dyDescent="0.25">
      <c r="A26" t="s">
        <v>60</v>
      </c>
    </row>
    <row r="27" spans="1:1" x14ac:dyDescent="0.25">
      <c r="A27" t="s">
        <v>75</v>
      </c>
    </row>
    <row r="28" spans="1:1" x14ac:dyDescent="0.25">
      <c r="A28" t="s">
        <v>59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51F07-E9BC-4825-9AA7-DCA2D6A9E9B8}">
  <dimension ref="A1:A29"/>
  <sheetViews>
    <sheetView workbookViewId="0">
      <selection activeCell="H77" sqref="H77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79</v>
      </c>
    </row>
    <row r="3" spans="1:1" x14ac:dyDescent="0.25">
      <c r="A3" t="s">
        <v>11</v>
      </c>
    </row>
    <row r="4" spans="1:1" x14ac:dyDescent="0.25">
      <c r="A4" t="s">
        <v>17</v>
      </c>
    </row>
    <row r="5" spans="1:1" x14ac:dyDescent="0.25">
      <c r="A5" t="s">
        <v>51</v>
      </c>
    </row>
    <row r="6" spans="1:1" x14ac:dyDescent="0.25">
      <c r="A6" t="s">
        <v>77</v>
      </c>
    </row>
    <row r="7" spans="1:1" x14ac:dyDescent="0.25">
      <c r="A7" t="s">
        <v>7</v>
      </c>
    </row>
    <row r="8" spans="1:1" x14ac:dyDescent="0.25">
      <c r="A8" t="s">
        <v>72</v>
      </c>
    </row>
    <row r="9" spans="1:1" x14ac:dyDescent="0.25">
      <c r="A9" t="s">
        <v>1</v>
      </c>
    </row>
    <row r="10" spans="1:1" x14ac:dyDescent="0.25">
      <c r="A10" t="s">
        <v>80</v>
      </c>
    </row>
    <row r="11" spans="1:1" x14ac:dyDescent="0.25">
      <c r="A11" t="s">
        <v>90</v>
      </c>
    </row>
    <row r="12" spans="1:1" x14ac:dyDescent="0.25">
      <c r="A12" t="s">
        <v>8</v>
      </c>
    </row>
    <row r="13" spans="1:1" x14ac:dyDescent="0.25">
      <c r="A13" t="s">
        <v>86</v>
      </c>
    </row>
    <row r="14" spans="1:1" x14ac:dyDescent="0.25">
      <c r="A14" t="s">
        <v>95</v>
      </c>
    </row>
    <row r="15" spans="1:1" x14ac:dyDescent="0.25">
      <c r="A15" t="s">
        <v>88</v>
      </c>
    </row>
    <row r="16" spans="1:1" x14ac:dyDescent="0.25">
      <c r="A16" t="s">
        <v>85</v>
      </c>
    </row>
    <row r="17" spans="1:1" x14ac:dyDescent="0.25">
      <c r="A17" t="s">
        <v>96</v>
      </c>
    </row>
    <row r="18" spans="1:1" x14ac:dyDescent="0.25">
      <c r="A18" t="s">
        <v>2</v>
      </c>
    </row>
    <row r="19" spans="1:1" x14ac:dyDescent="0.25">
      <c r="A19" t="s">
        <v>93</v>
      </c>
    </row>
    <row r="20" spans="1:1" x14ac:dyDescent="0.25">
      <c r="A20" t="s">
        <v>97</v>
      </c>
    </row>
    <row r="21" spans="1:1" x14ac:dyDescent="0.25">
      <c r="A21" t="s">
        <v>15</v>
      </c>
    </row>
    <row r="22" spans="1:1" x14ac:dyDescent="0.25">
      <c r="A22" t="s">
        <v>12</v>
      </c>
    </row>
    <row r="23" spans="1:1" x14ac:dyDescent="0.25">
      <c r="A23" t="s">
        <v>78</v>
      </c>
    </row>
    <row r="24" spans="1:1" x14ac:dyDescent="0.25">
      <c r="A24" t="s">
        <v>69</v>
      </c>
    </row>
    <row r="25" spans="1:1" x14ac:dyDescent="0.25">
      <c r="A25" t="s">
        <v>98</v>
      </c>
    </row>
    <row r="26" spans="1:1" x14ac:dyDescent="0.25">
      <c r="A26" t="s">
        <v>60</v>
      </c>
    </row>
    <row r="27" spans="1:1" x14ac:dyDescent="0.25">
      <c r="A27" t="s">
        <v>66</v>
      </c>
    </row>
    <row r="28" spans="1:1" x14ac:dyDescent="0.25">
      <c r="A28" t="s">
        <v>99</v>
      </c>
    </row>
    <row r="29" spans="1:1" x14ac:dyDescent="0.25">
      <c r="A29" t="s">
        <v>92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D86059-0F40-42A6-AE6A-E4A8243B3C21}">
  <dimension ref="A1:A26"/>
  <sheetViews>
    <sheetView workbookViewId="0">
      <selection activeCell="A26" sqref="A2:A26"/>
    </sheetView>
  </sheetViews>
  <sheetFormatPr defaultRowHeight="15" x14ac:dyDescent="0.25"/>
  <cols>
    <col min="1" max="1" width="19.7109375" bestFit="1" customWidth="1"/>
  </cols>
  <sheetData>
    <row r="1" spans="1:1" x14ac:dyDescent="0.25">
      <c r="A1" t="s">
        <v>0</v>
      </c>
    </row>
    <row r="2" spans="1:1" x14ac:dyDescent="0.25">
      <c r="A2" t="s">
        <v>79</v>
      </c>
    </row>
    <row r="3" spans="1:1" x14ac:dyDescent="0.25">
      <c r="A3" t="s">
        <v>51</v>
      </c>
    </row>
    <row r="4" spans="1:1" x14ac:dyDescent="0.25">
      <c r="A4" t="s">
        <v>3</v>
      </c>
    </row>
    <row r="5" spans="1:1" x14ac:dyDescent="0.25">
      <c r="A5" t="s">
        <v>77</v>
      </c>
    </row>
    <row r="6" spans="1:1" x14ac:dyDescent="0.25">
      <c r="A6" t="s">
        <v>11</v>
      </c>
    </row>
    <row r="7" spans="1:1" x14ac:dyDescent="0.25">
      <c r="A7" t="s">
        <v>17</v>
      </c>
    </row>
    <row r="8" spans="1:1" x14ac:dyDescent="0.25">
      <c r="A8" t="s">
        <v>7</v>
      </c>
    </row>
    <row r="9" spans="1:1" x14ac:dyDescent="0.25">
      <c r="A9" t="s">
        <v>87</v>
      </c>
    </row>
    <row r="10" spans="1:1" x14ac:dyDescent="0.25">
      <c r="A10" t="s">
        <v>72</v>
      </c>
    </row>
    <row r="11" spans="1:1" x14ac:dyDescent="0.25">
      <c r="A11" t="s">
        <v>96</v>
      </c>
    </row>
    <row r="12" spans="1:1" x14ac:dyDescent="0.25">
      <c r="A12" t="s">
        <v>91</v>
      </c>
    </row>
    <row r="13" spans="1:1" x14ac:dyDescent="0.25">
      <c r="A13" t="s">
        <v>86</v>
      </c>
    </row>
    <row r="14" spans="1:1" x14ac:dyDescent="0.25">
      <c r="A14" t="s">
        <v>1</v>
      </c>
    </row>
    <row r="15" spans="1:1" x14ac:dyDescent="0.25">
      <c r="A15" t="s">
        <v>95</v>
      </c>
    </row>
    <row r="16" spans="1:1" x14ac:dyDescent="0.25">
      <c r="A16" t="s">
        <v>97</v>
      </c>
    </row>
    <row r="17" spans="1:1" x14ac:dyDescent="0.25">
      <c r="A17" t="s">
        <v>93</v>
      </c>
    </row>
    <row r="18" spans="1:1" x14ac:dyDescent="0.25">
      <c r="A18" t="s">
        <v>100</v>
      </c>
    </row>
    <row r="19" spans="1:1" x14ac:dyDescent="0.25">
      <c r="A19" t="s">
        <v>99</v>
      </c>
    </row>
    <row r="20" spans="1:1" x14ac:dyDescent="0.25">
      <c r="A20" t="s">
        <v>90</v>
      </c>
    </row>
    <row r="21" spans="1:1" x14ac:dyDescent="0.25">
      <c r="A21" t="s">
        <v>60</v>
      </c>
    </row>
    <row r="22" spans="1:1" x14ac:dyDescent="0.25">
      <c r="A22" t="s">
        <v>101</v>
      </c>
    </row>
    <row r="23" spans="1:1" x14ac:dyDescent="0.25">
      <c r="A23" t="s">
        <v>78</v>
      </c>
    </row>
    <row r="24" spans="1:1" x14ac:dyDescent="0.25">
      <c r="A24" t="s">
        <v>98</v>
      </c>
    </row>
    <row r="25" spans="1:1" x14ac:dyDescent="0.25">
      <c r="A25" t="s">
        <v>66</v>
      </c>
    </row>
    <row r="26" spans="1:1" x14ac:dyDescent="0.25">
      <c r="A26" t="s">
        <v>15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28EF67-0DDF-4C73-BB7C-135261ED3818}">
  <dimension ref="A1:A24"/>
  <sheetViews>
    <sheetView workbookViewId="0">
      <selection activeCell="A2" sqref="A2:A24"/>
    </sheetView>
  </sheetViews>
  <sheetFormatPr defaultRowHeight="15" x14ac:dyDescent="0.25"/>
  <cols>
    <col min="1" max="1" width="19" bestFit="1" customWidth="1"/>
  </cols>
  <sheetData>
    <row r="1" spans="1:1" x14ac:dyDescent="0.25">
      <c r="A1" t="s">
        <v>0</v>
      </c>
    </row>
    <row r="2" spans="1:1" x14ac:dyDescent="0.25">
      <c r="A2" t="s">
        <v>79</v>
      </c>
    </row>
    <row r="3" spans="1:1" x14ac:dyDescent="0.25">
      <c r="A3" t="s">
        <v>51</v>
      </c>
    </row>
    <row r="4" spans="1:1" x14ac:dyDescent="0.25">
      <c r="A4" t="s">
        <v>17</v>
      </c>
    </row>
    <row r="5" spans="1:1" x14ac:dyDescent="0.25">
      <c r="A5" t="s">
        <v>77</v>
      </c>
    </row>
    <row r="6" spans="1:1" x14ac:dyDescent="0.25">
      <c r="A6" t="s">
        <v>3</v>
      </c>
    </row>
    <row r="7" spans="1:1" x14ac:dyDescent="0.25">
      <c r="A7" t="s">
        <v>72</v>
      </c>
    </row>
    <row r="8" spans="1:1" x14ac:dyDescent="0.25">
      <c r="A8" t="s">
        <v>87</v>
      </c>
    </row>
    <row r="9" spans="1:1" x14ac:dyDescent="0.25">
      <c r="A9" t="s">
        <v>7</v>
      </c>
    </row>
    <row r="10" spans="1:1" x14ac:dyDescent="0.25">
      <c r="A10" t="s">
        <v>11</v>
      </c>
    </row>
    <row r="11" spans="1:1" x14ac:dyDescent="0.25">
      <c r="A11" t="s">
        <v>91</v>
      </c>
    </row>
    <row r="12" spans="1:1" x14ac:dyDescent="0.25">
      <c r="A12" t="s">
        <v>96</v>
      </c>
    </row>
    <row r="13" spans="1:1" x14ac:dyDescent="0.25">
      <c r="A13" t="s">
        <v>95</v>
      </c>
    </row>
    <row r="14" spans="1:1" x14ac:dyDescent="0.25">
      <c r="A14" t="s">
        <v>80</v>
      </c>
    </row>
    <row r="15" spans="1:1" x14ac:dyDescent="0.25">
      <c r="A15" t="s">
        <v>99</v>
      </c>
    </row>
    <row r="16" spans="1:1" x14ac:dyDescent="0.25">
      <c r="A16" t="s">
        <v>100</v>
      </c>
    </row>
    <row r="17" spans="1:1" x14ac:dyDescent="0.25">
      <c r="A17" t="s">
        <v>102</v>
      </c>
    </row>
    <row r="18" spans="1:1" x14ac:dyDescent="0.25">
      <c r="A18" t="s">
        <v>103</v>
      </c>
    </row>
    <row r="19" spans="1:1" x14ac:dyDescent="0.25">
      <c r="A19" t="s">
        <v>97</v>
      </c>
    </row>
    <row r="20" spans="1:1" x14ac:dyDescent="0.25">
      <c r="A20" t="s">
        <v>104</v>
      </c>
    </row>
    <row r="21" spans="1:1" x14ac:dyDescent="0.25">
      <c r="A21" t="s">
        <v>101</v>
      </c>
    </row>
    <row r="22" spans="1:1" x14ac:dyDescent="0.25">
      <c r="A22" t="s">
        <v>78</v>
      </c>
    </row>
    <row r="23" spans="1:1" x14ac:dyDescent="0.25">
      <c r="A23" t="s">
        <v>105</v>
      </c>
    </row>
    <row r="24" spans="1:1" x14ac:dyDescent="0.25">
      <c r="A24" t="s">
        <v>106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05EA9-09C8-45DF-9887-5028388B0199}">
  <dimension ref="A1:A24"/>
  <sheetViews>
    <sheetView workbookViewId="0">
      <selection activeCell="A2" sqref="A2:A24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77</v>
      </c>
    </row>
    <row r="3" spans="1:1" x14ac:dyDescent="0.25">
      <c r="A3" t="s">
        <v>72</v>
      </c>
    </row>
    <row r="4" spans="1:1" x14ac:dyDescent="0.25">
      <c r="A4" t="s">
        <v>99</v>
      </c>
    </row>
    <row r="5" spans="1:1" x14ac:dyDescent="0.25">
      <c r="A5" t="s">
        <v>103</v>
      </c>
    </row>
    <row r="6" spans="1:1" x14ac:dyDescent="0.25">
      <c r="A6" t="s">
        <v>79</v>
      </c>
    </row>
    <row r="7" spans="1:1" x14ac:dyDescent="0.25">
      <c r="A7" t="s">
        <v>51</v>
      </c>
    </row>
    <row r="8" spans="1:1" x14ac:dyDescent="0.25">
      <c r="A8" t="s">
        <v>7</v>
      </c>
    </row>
    <row r="9" spans="1:1" x14ac:dyDescent="0.25">
      <c r="A9" t="s">
        <v>11</v>
      </c>
    </row>
    <row r="10" spans="1:1" x14ac:dyDescent="0.25">
      <c r="A10" t="s">
        <v>91</v>
      </c>
    </row>
    <row r="11" spans="1:1" x14ac:dyDescent="0.25">
      <c r="A11" t="s">
        <v>96</v>
      </c>
    </row>
    <row r="12" spans="1:1" x14ac:dyDescent="0.25">
      <c r="A12" t="s">
        <v>107</v>
      </c>
    </row>
    <row r="13" spans="1:1" x14ac:dyDescent="0.25">
      <c r="A13" t="s">
        <v>3</v>
      </c>
    </row>
    <row r="14" spans="1:1" x14ac:dyDescent="0.25">
      <c r="A14" t="s">
        <v>100</v>
      </c>
    </row>
    <row r="15" spans="1:1" x14ac:dyDescent="0.25">
      <c r="A15" t="s">
        <v>87</v>
      </c>
    </row>
    <row r="16" spans="1:1" x14ac:dyDescent="0.25">
      <c r="A16" t="s">
        <v>108</v>
      </c>
    </row>
    <row r="17" spans="1:1" x14ac:dyDescent="0.25">
      <c r="A17" t="s">
        <v>97</v>
      </c>
    </row>
    <row r="18" spans="1:1" x14ac:dyDescent="0.25">
      <c r="A18" t="s">
        <v>104</v>
      </c>
    </row>
    <row r="19" spans="1:1" x14ac:dyDescent="0.25">
      <c r="A19" t="s">
        <v>80</v>
      </c>
    </row>
    <row r="20" spans="1:1" x14ac:dyDescent="0.25">
      <c r="A20" t="s">
        <v>109</v>
      </c>
    </row>
    <row r="21" spans="1:1" x14ac:dyDescent="0.25">
      <c r="A21" t="s">
        <v>102</v>
      </c>
    </row>
    <row r="22" spans="1:1" x14ac:dyDescent="0.25">
      <c r="A22" t="s">
        <v>106</v>
      </c>
    </row>
    <row r="23" spans="1:1" x14ac:dyDescent="0.25">
      <c r="A23" t="s">
        <v>86</v>
      </c>
    </row>
    <row r="24" spans="1:1" x14ac:dyDescent="0.25">
      <c r="A24" t="s">
        <v>110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2F14C-4266-4398-862F-517EC6F2BF68}">
  <dimension ref="A1:A22"/>
  <sheetViews>
    <sheetView workbookViewId="0">
      <selection activeCell="A2" sqref="A2:A2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77</v>
      </c>
    </row>
    <row r="3" spans="1:1" x14ac:dyDescent="0.25">
      <c r="A3" t="s">
        <v>72</v>
      </c>
    </row>
    <row r="4" spans="1:1" x14ac:dyDescent="0.25">
      <c r="A4" t="s">
        <v>79</v>
      </c>
    </row>
    <row r="5" spans="1:1" x14ac:dyDescent="0.25">
      <c r="A5" t="s">
        <v>3</v>
      </c>
    </row>
    <row r="6" spans="1:1" x14ac:dyDescent="0.25">
      <c r="A6" t="s">
        <v>103</v>
      </c>
    </row>
    <row r="7" spans="1:1" x14ac:dyDescent="0.25">
      <c r="A7" t="s">
        <v>7</v>
      </c>
    </row>
    <row r="8" spans="1:1" x14ac:dyDescent="0.25">
      <c r="A8" t="s">
        <v>108</v>
      </c>
    </row>
    <row r="9" spans="1:1" x14ac:dyDescent="0.25">
      <c r="A9" t="s">
        <v>99</v>
      </c>
    </row>
    <row r="10" spans="1:1" x14ac:dyDescent="0.25">
      <c r="A10" t="s">
        <v>96</v>
      </c>
    </row>
    <row r="11" spans="1:1" x14ac:dyDescent="0.25">
      <c r="A11" t="s">
        <v>91</v>
      </c>
    </row>
    <row r="12" spans="1:1" x14ac:dyDescent="0.25">
      <c r="A12" t="s">
        <v>87</v>
      </c>
    </row>
    <row r="13" spans="1:1" x14ac:dyDescent="0.25">
      <c r="A13" t="s">
        <v>111</v>
      </c>
    </row>
    <row r="14" spans="1:1" x14ac:dyDescent="0.25">
      <c r="A14" t="s">
        <v>112</v>
      </c>
    </row>
    <row r="15" spans="1:1" x14ac:dyDescent="0.25">
      <c r="A15" t="s">
        <v>97</v>
      </c>
    </row>
    <row r="16" spans="1:1" x14ac:dyDescent="0.25">
      <c r="A16" t="s">
        <v>113</v>
      </c>
    </row>
    <row r="17" spans="1:1" x14ac:dyDescent="0.25">
      <c r="A17" t="s">
        <v>11</v>
      </c>
    </row>
    <row r="18" spans="1:1" x14ac:dyDescent="0.25">
      <c r="A18" t="s">
        <v>51</v>
      </c>
    </row>
    <row r="19" spans="1:1" x14ac:dyDescent="0.25">
      <c r="A19" t="s">
        <v>109</v>
      </c>
    </row>
    <row r="20" spans="1:1" x14ac:dyDescent="0.25">
      <c r="A20" t="s">
        <v>114</v>
      </c>
    </row>
    <row r="21" spans="1:1" x14ac:dyDescent="0.25">
      <c r="A21" t="s">
        <v>115</v>
      </c>
    </row>
    <row r="22" spans="1:1" x14ac:dyDescent="0.25">
      <c r="A22" t="s">
        <v>110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81B27-A4FF-4FDB-A545-8BEAAEB98497}">
  <dimension ref="A1:A25"/>
  <sheetViews>
    <sheetView workbookViewId="0">
      <selection activeCell="A2" sqref="A2:A25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72</v>
      </c>
    </row>
    <row r="3" spans="1:1" x14ac:dyDescent="0.25">
      <c r="A3" t="s">
        <v>77</v>
      </c>
    </row>
    <row r="4" spans="1:1" x14ac:dyDescent="0.25">
      <c r="A4" t="s">
        <v>99</v>
      </c>
    </row>
    <row r="5" spans="1:1" x14ac:dyDescent="0.25">
      <c r="A5" t="s">
        <v>79</v>
      </c>
    </row>
    <row r="6" spans="1:1" x14ac:dyDescent="0.25">
      <c r="A6" t="s">
        <v>111</v>
      </c>
    </row>
    <row r="7" spans="1:1" x14ac:dyDescent="0.25">
      <c r="A7" t="s">
        <v>3</v>
      </c>
    </row>
    <row r="8" spans="1:1" x14ac:dyDescent="0.25">
      <c r="A8" t="s">
        <v>96</v>
      </c>
    </row>
    <row r="9" spans="1:1" x14ac:dyDescent="0.25">
      <c r="A9" t="s">
        <v>103</v>
      </c>
    </row>
    <row r="10" spans="1:1" x14ac:dyDescent="0.25">
      <c r="A10" t="s">
        <v>91</v>
      </c>
    </row>
    <row r="11" spans="1:1" x14ac:dyDescent="0.25">
      <c r="A11" t="s">
        <v>51</v>
      </c>
    </row>
    <row r="12" spans="1:1" x14ac:dyDescent="0.25">
      <c r="A12" t="s">
        <v>7</v>
      </c>
    </row>
    <row r="13" spans="1:1" x14ac:dyDescent="0.25">
      <c r="A13" t="s">
        <v>113</v>
      </c>
    </row>
    <row r="14" spans="1:1" x14ac:dyDescent="0.25">
      <c r="A14" t="s">
        <v>87</v>
      </c>
    </row>
    <row r="15" spans="1:1" x14ac:dyDescent="0.25">
      <c r="A15" t="s">
        <v>108</v>
      </c>
    </row>
    <row r="16" spans="1:1" x14ac:dyDescent="0.25">
      <c r="A16" t="s">
        <v>11</v>
      </c>
    </row>
    <row r="17" spans="1:1" x14ac:dyDescent="0.25">
      <c r="A17" t="s">
        <v>107</v>
      </c>
    </row>
    <row r="18" spans="1:1" x14ac:dyDescent="0.25">
      <c r="A18" t="s">
        <v>112</v>
      </c>
    </row>
    <row r="19" spans="1:1" x14ac:dyDescent="0.25">
      <c r="A19" t="s">
        <v>116</v>
      </c>
    </row>
    <row r="20" spans="1:1" x14ac:dyDescent="0.25">
      <c r="A20" t="s">
        <v>117</v>
      </c>
    </row>
    <row r="21" spans="1:1" x14ac:dyDescent="0.25">
      <c r="A21" t="s">
        <v>118</v>
      </c>
    </row>
    <row r="22" spans="1:1" x14ac:dyDescent="0.25">
      <c r="A22" t="s">
        <v>102</v>
      </c>
    </row>
    <row r="23" spans="1:1" x14ac:dyDescent="0.25">
      <c r="A23" t="s">
        <v>109</v>
      </c>
    </row>
    <row r="24" spans="1:1" x14ac:dyDescent="0.25">
      <c r="A24" t="s">
        <v>119</v>
      </c>
    </row>
    <row r="25" spans="1:1" x14ac:dyDescent="0.25">
      <c r="A25" t="s">
        <v>120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7B59A-B1BE-4472-A7E7-70223D1707FA}">
  <dimension ref="A1:A24"/>
  <sheetViews>
    <sheetView workbookViewId="0">
      <selection activeCell="A2" sqref="A2:A24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77</v>
      </c>
    </row>
    <row r="3" spans="1:1" x14ac:dyDescent="0.25">
      <c r="A3" t="s">
        <v>79</v>
      </c>
    </row>
    <row r="4" spans="1:1" x14ac:dyDescent="0.25">
      <c r="A4" t="s">
        <v>103</v>
      </c>
    </row>
    <row r="5" spans="1:1" x14ac:dyDescent="0.25">
      <c r="A5" t="s">
        <v>3</v>
      </c>
    </row>
    <row r="6" spans="1:1" x14ac:dyDescent="0.25">
      <c r="A6" t="s">
        <v>99</v>
      </c>
    </row>
    <row r="7" spans="1:1" x14ac:dyDescent="0.25">
      <c r="A7" t="s">
        <v>111</v>
      </c>
    </row>
    <row r="8" spans="1:1" x14ac:dyDescent="0.25">
      <c r="A8" t="s">
        <v>96</v>
      </c>
    </row>
    <row r="9" spans="1:1" x14ac:dyDescent="0.25">
      <c r="A9" t="s">
        <v>119</v>
      </c>
    </row>
    <row r="10" spans="1:1" x14ac:dyDescent="0.25">
      <c r="A10" t="s">
        <v>113</v>
      </c>
    </row>
    <row r="11" spans="1:1" x14ac:dyDescent="0.25">
      <c r="A11" t="s">
        <v>91</v>
      </c>
    </row>
    <row r="12" spans="1:1" x14ac:dyDescent="0.25">
      <c r="A12" t="s">
        <v>7</v>
      </c>
    </row>
    <row r="13" spans="1:1" x14ac:dyDescent="0.25">
      <c r="A13" t="s">
        <v>121</v>
      </c>
    </row>
    <row r="14" spans="1:1" x14ac:dyDescent="0.25">
      <c r="A14" t="s">
        <v>87</v>
      </c>
    </row>
    <row r="15" spans="1:1" x14ac:dyDescent="0.25">
      <c r="A15" t="s">
        <v>107</v>
      </c>
    </row>
    <row r="16" spans="1:1" x14ac:dyDescent="0.25">
      <c r="A16" t="s">
        <v>51</v>
      </c>
    </row>
    <row r="17" spans="1:1" x14ac:dyDescent="0.25">
      <c r="A17" t="s">
        <v>118</v>
      </c>
    </row>
    <row r="18" spans="1:1" x14ac:dyDescent="0.25">
      <c r="A18" t="s">
        <v>116</v>
      </c>
    </row>
    <row r="19" spans="1:1" x14ac:dyDescent="0.25">
      <c r="A19" t="s">
        <v>117</v>
      </c>
    </row>
    <row r="20" spans="1:1" x14ac:dyDescent="0.25">
      <c r="A20" t="s">
        <v>108</v>
      </c>
    </row>
    <row r="21" spans="1:1" x14ac:dyDescent="0.25">
      <c r="A21" t="s">
        <v>109</v>
      </c>
    </row>
    <row r="22" spans="1:1" x14ac:dyDescent="0.25">
      <c r="A22" t="s">
        <v>122</v>
      </c>
    </row>
    <row r="23" spans="1:1" x14ac:dyDescent="0.25">
      <c r="A23" t="s">
        <v>123</v>
      </c>
    </row>
    <row r="24" spans="1:1" x14ac:dyDescent="0.25">
      <c r="A24" t="s">
        <v>124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02A74-DE9C-4BEE-9BC5-F661CBB67E18}">
  <dimension ref="A1:A21"/>
  <sheetViews>
    <sheetView workbookViewId="0">
      <selection activeCell="H41" sqref="H41"/>
    </sheetView>
  </sheetViews>
  <sheetFormatPr defaultRowHeight="15" x14ac:dyDescent="0.25"/>
  <cols>
    <col min="1" max="1" width="16.42578125" bestFit="1" customWidth="1"/>
  </cols>
  <sheetData>
    <row r="1" spans="1:1" x14ac:dyDescent="0.25">
      <c r="A1" t="s">
        <v>0</v>
      </c>
    </row>
    <row r="2" spans="1:1" x14ac:dyDescent="0.25">
      <c r="A2" t="s">
        <v>77</v>
      </c>
    </row>
    <row r="3" spans="1:1" x14ac:dyDescent="0.25">
      <c r="A3" t="s">
        <v>79</v>
      </c>
    </row>
    <row r="4" spans="1:1" x14ac:dyDescent="0.25">
      <c r="A4" t="s">
        <v>3</v>
      </c>
    </row>
    <row r="5" spans="1:1" x14ac:dyDescent="0.25">
      <c r="A5" t="s">
        <v>111</v>
      </c>
    </row>
    <row r="6" spans="1:1" x14ac:dyDescent="0.25">
      <c r="A6" t="s">
        <v>103</v>
      </c>
    </row>
    <row r="7" spans="1:1" x14ac:dyDescent="0.25">
      <c r="A7" t="s">
        <v>99</v>
      </c>
    </row>
    <row r="8" spans="1:1" x14ac:dyDescent="0.25">
      <c r="A8" t="s">
        <v>91</v>
      </c>
    </row>
    <row r="9" spans="1:1" x14ac:dyDescent="0.25">
      <c r="A9" t="s">
        <v>96</v>
      </c>
    </row>
    <row r="10" spans="1:1" x14ac:dyDescent="0.25">
      <c r="A10" t="s">
        <v>107</v>
      </c>
    </row>
    <row r="11" spans="1:1" x14ac:dyDescent="0.25">
      <c r="A11" t="s">
        <v>113</v>
      </c>
    </row>
    <row r="12" spans="1:1" x14ac:dyDescent="0.25">
      <c r="A12" t="s">
        <v>51</v>
      </c>
    </row>
    <row r="13" spans="1:1" x14ac:dyDescent="0.25">
      <c r="A13" t="s">
        <v>119</v>
      </c>
    </row>
    <row r="14" spans="1:1" x14ac:dyDescent="0.25">
      <c r="A14" t="s">
        <v>125</v>
      </c>
    </row>
    <row r="15" spans="1:1" x14ac:dyDescent="0.25">
      <c r="A15" t="s">
        <v>87</v>
      </c>
    </row>
    <row r="16" spans="1:1" x14ac:dyDescent="0.25">
      <c r="A16" t="s">
        <v>122</v>
      </c>
    </row>
    <row r="17" spans="1:1" x14ac:dyDescent="0.25">
      <c r="A17" t="s">
        <v>118</v>
      </c>
    </row>
    <row r="18" spans="1:1" x14ac:dyDescent="0.25">
      <c r="A18" t="s">
        <v>109</v>
      </c>
    </row>
    <row r="19" spans="1:1" x14ac:dyDescent="0.25">
      <c r="A19" t="s">
        <v>121</v>
      </c>
    </row>
    <row r="20" spans="1:1" x14ac:dyDescent="0.25">
      <c r="A20" t="s">
        <v>124</v>
      </c>
    </row>
    <row r="21" spans="1:1" x14ac:dyDescent="0.25">
      <c r="A21" t="s">
        <v>126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A89E6-064E-4CAF-91E1-B8698E14C23C}">
  <dimension ref="A1:A21"/>
  <sheetViews>
    <sheetView workbookViewId="0">
      <selection activeCell="C36" sqref="C36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77</v>
      </c>
    </row>
    <row r="3" spans="1:1" x14ac:dyDescent="0.25">
      <c r="A3" t="s">
        <v>103</v>
      </c>
    </row>
    <row r="4" spans="1:1" x14ac:dyDescent="0.25">
      <c r="A4" t="s">
        <v>111</v>
      </c>
    </row>
    <row r="5" spans="1:1" x14ac:dyDescent="0.25">
      <c r="A5" t="s">
        <v>125</v>
      </c>
    </row>
    <row r="6" spans="1:1" x14ac:dyDescent="0.25">
      <c r="A6" t="s">
        <v>79</v>
      </c>
    </row>
    <row r="7" spans="1:1" x14ac:dyDescent="0.25">
      <c r="A7" t="s">
        <v>113</v>
      </c>
    </row>
    <row r="8" spans="1:1" x14ac:dyDescent="0.25">
      <c r="A8" t="s">
        <v>122</v>
      </c>
    </row>
    <row r="9" spans="1:1" x14ac:dyDescent="0.25">
      <c r="A9" t="s">
        <v>127</v>
      </c>
    </row>
    <row r="10" spans="1:1" x14ac:dyDescent="0.25">
      <c r="A10" t="s">
        <v>99</v>
      </c>
    </row>
    <row r="11" spans="1:1" x14ac:dyDescent="0.25">
      <c r="A11" t="s">
        <v>96</v>
      </c>
    </row>
    <row r="12" spans="1:1" x14ac:dyDescent="0.25">
      <c r="A12" t="s">
        <v>128</v>
      </c>
    </row>
    <row r="13" spans="1:1" x14ac:dyDescent="0.25">
      <c r="A13" t="s">
        <v>3</v>
      </c>
    </row>
    <row r="14" spans="1:1" x14ac:dyDescent="0.25">
      <c r="A14" t="s">
        <v>108</v>
      </c>
    </row>
    <row r="15" spans="1:1" x14ac:dyDescent="0.25">
      <c r="A15" t="s">
        <v>91</v>
      </c>
    </row>
    <row r="16" spans="1:1" x14ac:dyDescent="0.25">
      <c r="A16" t="s">
        <v>121</v>
      </c>
    </row>
    <row r="17" spans="1:1" x14ac:dyDescent="0.25">
      <c r="A17" t="s">
        <v>107</v>
      </c>
    </row>
    <row r="18" spans="1:1" x14ac:dyDescent="0.25">
      <c r="A18" t="s">
        <v>123</v>
      </c>
    </row>
    <row r="19" spans="1:1" x14ac:dyDescent="0.25">
      <c r="A19" t="s">
        <v>87</v>
      </c>
    </row>
    <row r="20" spans="1:1" x14ac:dyDescent="0.25">
      <c r="A20" t="s">
        <v>71</v>
      </c>
    </row>
    <row r="21" spans="1:1" x14ac:dyDescent="0.25">
      <c r="A21" t="s">
        <v>129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743BE8-494B-4549-A27B-0B0C0DC916B8}">
  <dimension ref="A1:A24"/>
  <sheetViews>
    <sheetView workbookViewId="0">
      <selection activeCell="E53" sqref="E53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77</v>
      </c>
    </row>
    <row r="3" spans="1:1" x14ac:dyDescent="0.25">
      <c r="A3" t="s">
        <v>103</v>
      </c>
    </row>
    <row r="4" spans="1:1" x14ac:dyDescent="0.25">
      <c r="A4" t="s">
        <v>111</v>
      </c>
    </row>
    <row r="5" spans="1:1" x14ac:dyDescent="0.25">
      <c r="A5" t="s">
        <v>96</v>
      </c>
    </row>
    <row r="6" spans="1:1" x14ac:dyDescent="0.25">
      <c r="A6" t="s">
        <v>99</v>
      </c>
    </row>
    <row r="7" spans="1:1" x14ac:dyDescent="0.25">
      <c r="A7" t="s">
        <v>113</v>
      </c>
    </row>
    <row r="8" spans="1:1" x14ac:dyDescent="0.25">
      <c r="A8" t="s">
        <v>127</v>
      </c>
    </row>
    <row r="9" spans="1:1" x14ac:dyDescent="0.25">
      <c r="A9" t="s">
        <v>125</v>
      </c>
    </row>
    <row r="10" spans="1:1" x14ac:dyDescent="0.25">
      <c r="A10" t="s">
        <v>128</v>
      </c>
    </row>
    <row r="11" spans="1:1" x14ac:dyDescent="0.25">
      <c r="A11" t="s">
        <v>122</v>
      </c>
    </row>
    <row r="12" spans="1:1" x14ac:dyDescent="0.25">
      <c r="A12" t="s">
        <v>121</v>
      </c>
    </row>
    <row r="13" spans="1:1" x14ac:dyDescent="0.25">
      <c r="A13" t="s">
        <v>119</v>
      </c>
    </row>
    <row r="14" spans="1:1" x14ac:dyDescent="0.25">
      <c r="A14" t="s">
        <v>79</v>
      </c>
    </row>
    <row r="15" spans="1:1" x14ac:dyDescent="0.25">
      <c r="A15" t="s">
        <v>108</v>
      </c>
    </row>
    <row r="16" spans="1:1" x14ac:dyDescent="0.25">
      <c r="A16" t="s">
        <v>91</v>
      </c>
    </row>
    <row r="17" spans="1:1" x14ac:dyDescent="0.25">
      <c r="A17" t="s">
        <v>3</v>
      </c>
    </row>
    <row r="18" spans="1:1" x14ac:dyDescent="0.25">
      <c r="A18" t="s">
        <v>123</v>
      </c>
    </row>
    <row r="19" spans="1:1" x14ac:dyDescent="0.25">
      <c r="A19" t="s">
        <v>129</v>
      </c>
    </row>
    <row r="20" spans="1:1" x14ac:dyDescent="0.25">
      <c r="A20" t="s">
        <v>87</v>
      </c>
    </row>
    <row r="21" spans="1:1" x14ac:dyDescent="0.25">
      <c r="A21" t="s">
        <v>107</v>
      </c>
    </row>
    <row r="22" spans="1:1" x14ac:dyDescent="0.25">
      <c r="A22" t="s">
        <v>130</v>
      </c>
    </row>
    <row r="23" spans="1:1" x14ac:dyDescent="0.25">
      <c r="A23" t="s">
        <v>131</v>
      </c>
    </row>
    <row r="24" spans="1:1" x14ac:dyDescent="0.25">
      <c r="A24" t="s">
        <v>132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26E7E-7CC5-4FC4-AA7B-870479195203}">
  <dimension ref="A1:A22"/>
  <sheetViews>
    <sheetView workbookViewId="0">
      <selection activeCell="C42" sqref="C42"/>
    </sheetView>
  </sheetViews>
  <sheetFormatPr defaultRowHeight="15" x14ac:dyDescent="0.25"/>
  <cols>
    <col min="1" max="1" width="17.5703125" bestFit="1" customWidth="1"/>
  </cols>
  <sheetData>
    <row r="1" spans="1:1" x14ac:dyDescent="0.25">
      <c r="A1" t="s">
        <v>0</v>
      </c>
    </row>
    <row r="2" spans="1:1" x14ac:dyDescent="0.25">
      <c r="A2" t="s">
        <v>111</v>
      </c>
    </row>
    <row r="3" spans="1:1" x14ac:dyDescent="0.25">
      <c r="A3" t="s">
        <v>77</v>
      </c>
    </row>
    <row r="4" spans="1:1" x14ac:dyDescent="0.25">
      <c r="A4" t="s">
        <v>103</v>
      </c>
    </row>
    <row r="5" spans="1:1" x14ac:dyDescent="0.25">
      <c r="A5" t="s">
        <v>96</v>
      </c>
    </row>
    <row r="6" spans="1:1" x14ac:dyDescent="0.25">
      <c r="A6" t="s">
        <v>113</v>
      </c>
    </row>
    <row r="7" spans="1:1" x14ac:dyDescent="0.25">
      <c r="A7" t="s">
        <v>128</v>
      </c>
    </row>
    <row r="8" spans="1:1" x14ac:dyDescent="0.25">
      <c r="A8" t="s">
        <v>125</v>
      </c>
    </row>
    <row r="9" spans="1:1" x14ac:dyDescent="0.25">
      <c r="A9" t="s">
        <v>99</v>
      </c>
    </row>
    <row r="10" spans="1:1" x14ac:dyDescent="0.25">
      <c r="A10" t="s">
        <v>122</v>
      </c>
    </row>
    <row r="11" spans="1:1" x14ac:dyDescent="0.25">
      <c r="A11" t="s">
        <v>51</v>
      </c>
    </row>
    <row r="12" spans="1:1" x14ac:dyDescent="0.25">
      <c r="A12" t="s">
        <v>119</v>
      </c>
    </row>
    <row r="13" spans="1:1" x14ac:dyDescent="0.25">
      <c r="A13" t="s">
        <v>79</v>
      </c>
    </row>
    <row r="14" spans="1:1" x14ac:dyDescent="0.25">
      <c r="A14" t="s">
        <v>121</v>
      </c>
    </row>
    <row r="15" spans="1:1" x14ac:dyDescent="0.25">
      <c r="A15" t="s">
        <v>133</v>
      </c>
    </row>
    <row r="16" spans="1:1" x14ac:dyDescent="0.25">
      <c r="A16" t="s">
        <v>129</v>
      </c>
    </row>
    <row r="17" spans="1:1" x14ac:dyDescent="0.25">
      <c r="A17" t="s">
        <v>3</v>
      </c>
    </row>
    <row r="18" spans="1:1" x14ac:dyDescent="0.25">
      <c r="A18" t="s">
        <v>130</v>
      </c>
    </row>
    <row r="19" spans="1:1" x14ac:dyDescent="0.25">
      <c r="A19" t="s">
        <v>123</v>
      </c>
    </row>
    <row r="20" spans="1:1" x14ac:dyDescent="0.25">
      <c r="A20" t="s">
        <v>134</v>
      </c>
    </row>
    <row r="21" spans="1:1" x14ac:dyDescent="0.25">
      <c r="A21" t="s">
        <v>71</v>
      </c>
    </row>
    <row r="22" spans="1:1" x14ac:dyDescent="0.25">
      <c r="A22" t="s">
        <v>135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16F4FE-A52D-4398-8BE4-A0ECC46C9962}">
  <dimension ref="A1:A23"/>
  <sheetViews>
    <sheetView workbookViewId="0">
      <selection activeCell="I68" sqref="I68"/>
    </sheetView>
  </sheetViews>
  <sheetFormatPr defaultRowHeight="15" x14ac:dyDescent="0.25"/>
  <cols>
    <col min="1" max="1" width="16.7109375" bestFit="1" customWidth="1"/>
  </cols>
  <sheetData>
    <row r="1" spans="1:1" x14ac:dyDescent="0.25">
      <c r="A1" t="s">
        <v>0</v>
      </c>
    </row>
    <row r="2" spans="1:1" x14ac:dyDescent="0.25">
      <c r="A2" t="s">
        <v>111</v>
      </c>
    </row>
    <row r="3" spans="1:1" x14ac:dyDescent="0.25">
      <c r="A3" t="s">
        <v>125</v>
      </c>
    </row>
    <row r="4" spans="1:1" x14ac:dyDescent="0.25">
      <c r="A4" t="s">
        <v>96</v>
      </c>
    </row>
    <row r="5" spans="1:1" x14ac:dyDescent="0.25">
      <c r="A5" t="s">
        <v>129</v>
      </c>
    </row>
    <row r="6" spans="1:1" x14ac:dyDescent="0.25">
      <c r="A6" t="s">
        <v>113</v>
      </c>
    </row>
    <row r="7" spans="1:1" x14ac:dyDescent="0.25">
      <c r="A7" t="s">
        <v>77</v>
      </c>
    </row>
    <row r="8" spans="1:1" x14ac:dyDescent="0.25">
      <c r="A8" t="s">
        <v>128</v>
      </c>
    </row>
    <row r="9" spans="1:1" x14ac:dyDescent="0.25">
      <c r="A9" t="s">
        <v>119</v>
      </c>
    </row>
    <row r="10" spans="1:1" x14ac:dyDescent="0.25">
      <c r="A10" t="s">
        <v>51</v>
      </c>
    </row>
    <row r="11" spans="1:1" x14ac:dyDescent="0.25">
      <c r="A11" t="s">
        <v>103</v>
      </c>
    </row>
    <row r="12" spans="1:1" x14ac:dyDescent="0.25">
      <c r="A12" t="s">
        <v>99</v>
      </c>
    </row>
    <row r="13" spans="1:1" x14ac:dyDescent="0.25">
      <c r="A13" t="s">
        <v>79</v>
      </c>
    </row>
    <row r="14" spans="1:1" x14ac:dyDescent="0.25">
      <c r="A14" t="s">
        <v>107</v>
      </c>
    </row>
    <row r="15" spans="1:1" x14ac:dyDescent="0.25">
      <c r="A15" t="s">
        <v>122</v>
      </c>
    </row>
    <row r="16" spans="1:1" x14ac:dyDescent="0.25">
      <c r="A16" t="s">
        <v>121</v>
      </c>
    </row>
    <row r="17" spans="1:1" x14ac:dyDescent="0.25">
      <c r="A17" t="s">
        <v>134</v>
      </c>
    </row>
    <row r="18" spans="1:1" x14ac:dyDescent="0.25">
      <c r="A18" t="s">
        <v>133</v>
      </c>
    </row>
    <row r="19" spans="1:1" x14ac:dyDescent="0.25">
      <c r="A19" t="s">
        <v>136</v>
      </c>
    </row>
    <row r="20" spans="1:1" x14ac:dyDescent="0.25">
      <c r="A20" t="s">
        <v>127</v>
      </c>
    </row>
    <row r="21" spans="1:1" x14ac:dyDescent="0.25">
      <c r="A21" t="s">
        <v>130</v>
      </c>
    </row>
    <row r="22" spans="1:1" x14ac:dyDescent="0.25">
      <c r="A22" t="s">
        <v>137</v>
      </c>
    </row>
    <row r="23" spans="1:1" x14ac:dyDescent="0.25">
      <c r="A23" t="s">
        <v>91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6EA40-13C9-4D0C-A228-ED069B0DFCDE}">
  <dimension ref="A1:A23"/>
  <sheetViews>
    <sheetView workbookViewId="0">
      <selection activeCell="H49" sqref="H49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111</v>
      </c>
    </row>
    <row r="3" spans="1:1" x14ac:dyDescent="0.25">
      <c r="A3" t="s">
        <v>96</v>
      </c>
    </row>
    <row r="4" spans="1:1" x14ac:dyDescent="0.25">
      <c r="A4" t="s">
        <v>77</v>
      </c>
    </row>
    <row r="5" spans="1:1" x14ac:dyDescent="0.25">
      <c r="A5" t="s">
        <v>51</v>
      </c>
    </row>
    <row r="6" spans="1:1" x14ac:dyDescent="0.25">
      <c r="A6" t="s">
        <v>125</v>
      </c>
    </row>
    <row r="7" spans="1:1" x14ac:dyDescent="0.25">
      <c r="A7" t="s">
        <v>128</v>
      </c>
    </row>
    <row r="8" spans="1:1" x14ac:dyDescent="0.25">
      <c r="A8" t="s">
        <v>113</v>
      </c>
    </row>
    <row r="9" spans="1:1" x14ac:dyDescent="0.25">
      <c r="A9" t="s">
        <v>129</v>
      </c>
    </row>
    <row r="10" spans="1:1" x14ac:dyDescent="0.25">
      <c r="A10" t="s">
        <v>138</v>
      </c>
    </row>
    <row r="11" spans="1:1" x14ac:dyDescent="0.25">
      <c r="A11" t="s">
        <v>121</v>
      </c>
    </row>
    <row r="12" spans="1:1" x14ac:dyDescent="0.25">
      <c r="A12" t="s">
        <v>122</v>
      </c>
    </row>
    <row r="13" spans="1:1" x14ac:dyDescent="0.25">
      <c r="A13" t="s">
        <v>119</v>
      </c>
    </row>
    <row r="14" spans="1:1" x14ac:dyDescent="0.25">
      <c r="A14" t="s">
        <v>127</v>
      </c>
    </row>
    <row r="15" spans="1:1" x14ac:dyDescent="0.25">
      <c r="A15" t="s">
        <v>133</v>
      </c>
    </row>
    <row r="16" spans="1:1" x14ac:dyDescent="0.25">
      <c r="A16" t="s">
        <v>103</v>
      </c>
    </row>
    <row r="17" spans="1:1" x14ac:dyDescent="0.25">
      <c r="A17" t="s">
        <v>91</v>
      </c>
    </row>
    <row r="18" spans="1:1" x14ac:dyDescent="0.25">
      <c r="A18" t="s">
        <v>99</v>
      </c>
    </row>
    <row r="19" spans="1:1" x14ac:dyDescent="0.25">
      <c r="A19" t="s">
        <v>136</v>
      </c>
    </row>
    <row r="20" spans="1:1" x14ac:dyDescent="0.25">
      <c r="A20" t="s">
        <v>107</v>
      </c>
    </row>
    <row r="21" spans="1:1" x14ac:dyDescent="0.25">
      <c r="A21" t="s">
        <v>139</v>
      </c>
    </row>
    <row r="22" spans="1:1" x14ac:dyDescent="0.25">
      <c r="A22" t="s">
        <v>140</v>
      </c>
    </row>
    <row r="23" spans="1:1" x14ac:dyDescent="0.25">
      <c r="A23" t="s">
        <v>137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A1C5AB-79A4-4A2A-A59C-9F1C1089C3B0}">
  <dimension ref="A1:A25"/>
  <sheetViews>
    <sheetView zoomScaleNormal="100" workbookViewId="0">
      <selection activeCell="G38" sqref="G38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111</v>
      </c>
    </row>
    <row r="3" spans="1:1" x14ac:dyDescent="0.25">
      <c r="A3" t="s">
        <v>128</v>
      </c>
    </row>
    <row r="4" spans="1:1" x14ac:dyDescent="0.25">
      <c r="A4" t="s">
        <v>125</v>
      </c>
    </row>
    <row r="5" spans="1:1" x14ac:dyDescent="0.25">
      <c r="A5" t="s">
        <v>138</v>
      </c>
    </row>
    <row r="6" spans="1:1" x14ac:dyDescent="0.25">
      <c r="A6" t="s">
        <v>113</v>
      </c>
    </row>
    <row r="7" spans="1:1" x14ac:dyDescent="0.25">
      <c r="A7" t="s">
        <v>129</v>
      </c>
    </row>
    <row r="8" spans="1:1" x14ac:dyDescent="0.25">
      <c r="A8" t="s">
        <v>77</v>
      </c>
    </row>
    <row r="9" spans="1:1" x14ac:dyDescent="0.25">
      <c r="A9" t="s">
        <v>96</v>
      </c>
    </row>
    <row r="10" spans="1:1" x14ac:dyDescent="0.25">
      <c r="A10" t="s">
        <v>51</v>
      </c>
    </row>
    <row r="11" spans="1:1" x14ac:dyDescent="0.25">
      <c r="A11" t="s">
        <v>122</v>
      </c>
    </row>
    <row r="12" spans="1:1" x14ac:dyDescent="0.25">
      <c r="A12" t="s">
        <v>91</v>
      </c>
    </row>
    <row r="13" spans="1:1" x14ac:dyDescent="0.25">
      <c r="A13" t="s">
        <v>133</v>
      </c>
    </row>
    <row r="14" spans="1:1" x14ac:dyDescent="0.25">
      <c r="A14" t="s">
        <v>121</v>
      </c>
    </row>
    <row r="15" spans="1:1" x14ac:dyDescent="0.25">
      <c r="A15" t="s">
        <v>119</v>
      </c>
    </row>
    <row r="16" spans="1:1" x14ac:dyDescent="0.25">
      <c r="A16" t="s">
        <v>107</v>
      </c>
    </row>
    <row r="17" spans="1:1" x14ac:dyDescent="0.25">
      <c r="A17" t="s">
        <v>127</v>
      </c>
    </row>
    <row r="18" spans="1:1" x14ac:dyDescent="0.25">
      <c r="A18" t="s">
        <v>99</v>
      </c>
    </row>
    <row r="19" spans="1:1" x14ac:dyDescent="0.25">
      <c r="A19" t="s">
        <v>141</v>
      </c>
    </row>
    <row r="20" spans="1:1" x14ac:dyDescent="0.25">
      <c r="A20" t="s">
        <v>142</v>
      </c>
    </row>
    <row r="21" spans="1:1" x14ac:dyDescent="0.25">
      <c r="A21" t="s">
        <v>136</v>
      </c>
    </row>
    <row r="22" spans="1:1" x14ac:dyDescent="0.25">
      <c r="A22" t="s">
        <v>139</v>
      </c>
    </row>
    <row r="23" spans="1:1" x14ac:dyDescent="0.25">
      <c r="A23" t="s">
        <v>103</v>
      </c>
    </row>
    <row r="24" spans="1:1" x14ac:dyDescent="0.25">
      <c r="A24" t="s">
        <v>140</v>
      </c>
    </row>
    <row r="25" spans="1:1" x14ac:dyDescent="0.25">
      <c r="A25" t="s">
        <v>143</v>
      </c>
    </row>
  </sheetData>
  <pageMargins left="0.7" right="0.7" top="0.75" bottom="0.75" header="0.3" footer="0.3"/>
  <pageSetup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85092-DD56-4DFB-A3DE-A66B323B833F}">
  <dimension ref="A1:A22"/>
  <sheetViews>
    <sheetView workbookViewId="0">
      <selection activeCell="A2" sqref="A2:A22"/>
    </sheetView>
  </sheetViews>
  <sheetFormatPr defaultRowHeight="15" x14ac:dyDescent="0.25"/>
  <cols>
    <col min="1" max="1" width="16.140625" bestFit="1" customWidth="1"/>
  </cols>
  <sheetData>
    <row r="1" spans="1:1" x14ac:dyDescent="0.25">
      <c r="A1" t="s">
        <v>0</v>
      </c>
    </row>
    <row r="2" spans="1:1" x14ac:dyDescent="0.25">
      <c r="A2" t="s">
        <v>128</v>
      </c>
    </row>
    <row r="3" spans="1:1" x14ac:dyDescent="0.25">
      <c r="A3" t="s">
        <v>111</v>
      </c>
    </row>
    <row r="4" spans="1:1" x14ac:dyDescent="0.25">
      <c r="A4" t="s">
        <v>138</v>
      </c>
    </row>
    <row r="5" spans="1:1" x14ac:dyDescent="0.25">
      <c r="A5" t="s">
        <v>129</v>
      </c>
    </row>
    <row r="6" spans="1:1" x14ac:dyDescent="0.25">
      <c r="A6" t="s">
        <v>125</v>
      </c>
    </row>
    <row r="7" spans="1:1" x14ac:dyDescent="0.25">
      <c r="A7" t="s">
        <v>77</v>
      </c>
    </row>
    <row r="8" spans="1:1" x14ac:dyDescent="0.25">
      <c r="A8" t="s">
        <v>144</v>
      </c>
    </row>
    <row r="9" spans="1:1" x14ac:dyDescent="0.25">
      <c r="A9" t="s">
        <v>127</v>
      </c>
    </row>
    <row r="10" spans="1:1" x14ac:dyDescent="0.25">
      <c r="A10" t="s">
        <v>113</v>
      </c>
    </row>
    <row r="11" spans="1:1" x14ac:dyDescent="0.25">
      <c r="A11" t="s">
        <v>51</v>
      </c>
    </row>
    <row r="12" spans="1:1" x14ac:dyDescent="0.25">
      <c r="A12" t="s">
        <v>91</v>
      </c>
    </row>
    <row r="13" spans="1:1" x14ac:dyDescent="0.25">
      <c r="A13" t="s">
        <v>145</v>
      </c>
    </row>
    <row r="14" spans="1:1" x14ac:dyDescent="0.25">
      <c r="A14" t="s">
        <v>141</v>
      </c>
    </row>
    <row r="15" spans="1:1" x14ac:dyDescent="0.25">
      <c r="A15" t="s">
        <v>139</v>
      </c>
    </row>
    <row r="16" spans="1:1" x14ac:dyDescent="0.25">
      <c r="A16" t="s">
        <v>119</v>
      </c>
    </row>
    <row r="17" spans="1:1" x14ac:dyDescent="0.25">
      <c r="A17" t="s">
        <v>121</v>
      </c>
    </row>
    <row r="18" spans="1:1" x14ac:dyDescent="0.25">
      <c r="A18" t="s">
        <v>133</v>
      </c>
    </row>
    <row r="19" spans="1:1" x14ac:dyDescent="0.25">
      <c r="A19" t="s">
        <v>122</v>
      </c>
    </row>
    <row r="20" spans="1:1" x14ac:dyDescent="0.25">
      <c r="A20" t="s">
        <v>146</v>
      </c>
    </row>
    <row r="21" spans="1:1" x14ac:dyDescent="0.25">
      <c r="A21" t="s">
        <v>142</v>
      </c>
    </row>
    <row r="22" spans="1:1" x14ac:dyDescent="0.25">
      <c r="A22" t="s">
        <v>143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4B9004-BFC1-4A04-AEDF-CD50347CD713}">
  <dimension ref="A1:A23"/>
  <sheetViews>
    <sheetView workbookViewId="0">
      <selection activeCell="F9" sqref="F9"/>
    </sheetView>
  </sheetViews>
  <sheetFormatPr defaultRowHeight="15" x14ac:dyDescent="0.25"/>
  <cols>
    <col min="1" max="1" width="16" bestFit="1" customWidth="1"/>
  </cols>
  <sheetData>
    <row r="1" spans="1:1" x14ac:dyDescent="0.25">
      <c r="A1" t="s">
        <v>0</v>
      </c>
    </row>
    <row r="2" spans="1:1" x14ac:dyDescent="0.25">
      <c r="A2" t="s">
        <v>144</v>
      </c>
    </row>
    <row r="3" spans="1:1" x14ac:dyDescent="0.25">
      <c r="A3" t="s">
        <v>129</v>
      </c>
    </row>
    <row r="4" spans="1:1" x14ac:dyDescent="0.25">
      <c r="A4" t="s">
        <v>125</v>
      </c>
    </row>
    <row r="5" spans="1:1" x14ac:dyDescent="0.25">
      <c r="A5" t="s">
        <v>77</v>
      </c>
    </row>
    <row r="6" spans="1:1" x14ac:dyDescent="0.25">
      <c r="A6" t="s">
        <v>128</v>
      </c>
    </row>
    <row r="7" spans="1:1" x14ac:dyDescent="0.25">
      <c r="A7" t="s">
        <v>138</v>
      </c>
    </row>
    <row r="8" spans="1:1" x14ac:dyDescent="0.25">
      <c r="A8" t="s">
        <v>141</v>
      </c>
    </row>
    <row r="9" spans="1:1" x14ac:dyDescent="0.25">
      <c r="A9" t="s">
        <v>122</v>
      </c>
    </row>
    <row r="10" spans="1:1" x14ac:dyDescent="0.25">
      <c r="A10" t="s">
        <v>111</v>
      </c>
    </row>
    <row r="11" spans="1:1" x14ac:dyDescent="0.25">
      <c r="A11" t="s">
        <v>139</v>
      </c>
    </row>
    <row r="12" spans="1:1" x14ac:dyDescent="0.25">
      <c r="A12" t="s">
        <v>147</v>
      </c>
    </row>
    <row r="13" spans="1:1" x14ac:dyDescent="0.25">
      <c r="A13" t="s">
        <v>145</v>
      </c>
    </row>
    <row r="14" spans="1:1" x14ac:dyDescent="0.25">
      <c r="A14" t="s">
        <v>146</v>
      </c>
    </row>
    <row r="15" spans="1:1" x14ac:dyDescent="0.25">
      <c r="A15" t="s">
        <v>113</v>
      </c>
    </row>
    <row r="16" spans="1:1" x14ac:dyDescent="0.25">
      <c r="A16" t="s">
        <v>119</v>
      </c>
    </row>
    <row r="17" spans="1:1" x14ac:dyDescent="0.25">
      <c r="A17" t="s">
        <v>142</v>
      </c>
    </row>
    <row r="18" spans="1:1" x14ac:dyDescent="0.25">
      <c r="A18" t="s">
        <v>91</v>
      </c>
    </row>
    <row r="19" spans="1:1" x14ac:dyDescent="0.25">
      <c r="A19" t="s">
        <v>127</v>
      </c>
    </row>
    <row r="20" spans="1:1" x14ac:dyDescent="0.25">
      <c r="A20" t="s">
        <v>103</v>
      </c>
    </row>
    <row r="21" spans="1:1" x14ac:dyDescent="0.25">
      <c r="A21" t="s">
        <v>96</v>
      </c>
    </row>
    <row r="22" spans="1:1" x14ac:dyDescent="0.25">
      <c r="A22" t="s">
        <v>51</v>
      </c>
    </row>
    <row r="23" spans="1:1" x14ac:dyDescent="0.25">
      <c r="A23" t="s">
        <v>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Driver_Lineup_Wins</vt:lpstr>
      <vt:lpstr>1991</vt:lpstr>
      <vt:lpstr>1992</vt:lpstr>
      <vt:lpstr>1993</vt:lpstr>
      <vt:lpstr>1994</vt:lpstr>
      <vt:lpstr>1995</vt:lpstr>
      <vt:lpstr>1996</vt:lpstr>
      <vt:lpstr>1997</vt:lpstr>
      <vt:lpstr>1998</vt:lpstr>
      <vt:lpstr>1999</vt:lpstr>
      <vt:lpstr>2000</vt:lpstr>
      <vt:lpstr>2001</vt:lpstr>
      <vt:lpstr>2002</vt:lpstr>
      <vt:lpstr>2003</vt:lpstr>
      <vt:lpstr>2004</vt:lpstr>
      <vt:lpstr>2005</vt:lpstr>
      <vt:lpstr>2006</vt:lpstr>
      <vt:lpstr>2007</vt:lpstr>
      <vt:lpstr>2008</vt:lpstr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  <vt:lpstr>2020</vt:lpstr>
      <vt:lpstr>2021</vt:lpstr>
      <vt:lpstr>2022</vt:lpstr>
      <vt:lpstr>2023</vt:lpstr>
      <vt:lpstr>2024</vt:lpstr>
      <vt:lpstr>2025</vt:lpstr>
      <vt:lpstr>2026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Owen Simon</dc:creator>
  <cp:lastModifiedBy>Owen Simon</cp:lastModifiedBy>
  <dcterms:created xsi:type="dcterms:W3CDTF">2026-04-07T01:29:25Z</dcterms:created>
  <dcterms:modified xsi:type="dcterms:W3CDTF">2026-04-23T04:57:39Z</dcterms:modified>
</cp:coreProperties>
</file>