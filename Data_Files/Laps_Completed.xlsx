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OM\Repositories\Formula-1-Constructor-Repository\Data Files\"/>
    </mc:Choice>
  </mc:AlternateContent>
  <xr:revisionPtr revIDLastSave="0" documentId="13_ncr:1_{BE9E077E-5D79-4489-BF5C-7117727A2EEA}" xr6:coauthVersionLast="47" xr6:coauthVersionMax="47" xr10:uidLastSave="{00000000-0000-0000-0000-000000000000}"/>
  <bookViews>
    <workbookView xWindow="28695" yWindow="1500" windowWidth="16410" windowHeight="14145" firstSheet="2" activeTab="8" xr2:uid="{3A639250-557D-4B08-A9B4-7BAD64B6336B}"/>
  </bookViews>
  <sheets>
    <sheet name="Laps_Completed" sheetId="1" r:id="rId1"/>
    <sheet name="1991" sheetId="3" r:id="rId2"/>
    <sheet name="1992" sheetId="4" r:id="rId3"/>
    <sheet name="1993" sheetId="5" r:id="rId4"/>
    <sheet name="1994" sheetId="6" r:id="rId5"/>
    <sheet name="1995" sheetId="7" r:id="rId6"/>
    <sheet name="1996" sheetId="8" r:id="rId7"/>
    <sheet name="1997" sheetId="9" r:id="rId8"/>
    <sheet name="1998" sheetId="10" r:id="rId9"/>
    <sheet name="1999" sheetId="11" r:id="rId10"/>
    <sheet name="2000" sheetId="12" r:id="rId11"/>
    <sheet name="2001" sheetId="13" r:id="rId12"/>
    <sheet name="2002" sheetId="2" r:id="rId13"/>
    <sheet name="2003" sheetId="14" r:id="rId14"/>
    <sheet name="2004" sheetId="15" r:id="rId15"/>
    <sheet name="2005" sheetId="16" r:id="rId16"/>
    <sheet name="2006" sheetId="17" r:id="rId17"/>
    <sheet name="2007" sheetId="18" r:id="rId18"/>
    <sheet name="2008" sheetId="19" r:id="rId19"/>
    <sheet name="2009" sheetId="20" r:id="rId20"/>
    <sheet name="2010" sheetId="21" r:id="rId21"/>
    <sheet name="2011" sheetId="22" r:id="rId22"/>
    <sheet name="2012" sheetId="23" r:id="rId23"/>
    <sheet name="2013" sheetId="24" r:id="rId24"/>
    <sheet name="2014" sheetId="25" r:id="rId25"/>
    <sheet name="2015" sheetId="26" r:id="rId26"/>
    <sheet name="2016" sheetId="27" r:id="rId27"/>
    <sheet name="2017" sheetId="28" r:id="rId28"/>
    <sheet name="2018" sheetId="29" r:id="rId29"/>
    <sheet name="2019" sheetId="30" r:id="rId30"/>
    <sheet name="2020" sheetId="31" r:id="rId31"/>
    <sheet name="2021" sheetId="32" r:id="rId32"/>
    <sheet name="2022" sheetId="33" r:id="rId33"/>
    <sheet name="2023" sheetId="34" r:id="rId34"/>
    <sheet name="2024" sheetId="35" r:id="rId35"/>
    <sheet name="2025" sheetId="36" r:id="rId36"/>
    <sheet name="2026" sheetId="37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0" l="1"/>
  <c r="B13" i="10"/>
  <c r="B12" i="10"/>
  <c r="B11" i="10"/>
  <c r="B10" i="10"/>
  <c r="B9" i="10"/>
  <c r="B8" i="10"/>
  <c r="B7" i="10"/>
  <c r="B6" i="10"/>
  <c r="B5" i="10"/>
  <c r="B4" i="10"/>
  <c r="B3" i="10"/>
  <c r="B2" i="10"/>
  <c r="B3" i="9"/>
  <c r="B4" i="9"/>
  <c r="B5" i="9"/>
  <c r="B6" i="9"/>
  <c r="B7" i="9"/>
  <c r="B8" i="9"/>
  <c r="B9" i="9"/>
  <c r="B10" i="9"/>
  <c r="B11" i="9"/>
  <c r="B12" i="9"/>
  <c r="B13" i="9"/>
  <c r="B14" i="9"/>
  <c r="B2" i="9"/>
  <c r="B3" i="8"/>
  <c r="B4" i="8"/>
  <c r="B5" i="8"/>
  <c r="B6" i="8"/>
  <c r="B7" i="8"/>
  <c r="B8" i="8"/>
  <c r="B9" i="8"/>
  <c r="B10" i="8"/>
  <c r="B11" i="8"/>
  <c r="B12" i="8"/>
  <c r="B2" i="8"/>
  <c r="B10" i="7"/>
  <c r="B5" i="5"/>
  <c r="B2" i="3"/>
  <c r="B3" i="7"/>
  <c r="B4" i="7"/>
  <c r="B5" i="7"/>
  <c r="B6" i="7"/>
  <c r="B7" i="7"/>
  <c r="B8" i="7"/>
  <c r="B9" i="7"/>
  <c r="B2" i="7"/>
  <c r="B2" i="5"/>
  <c r="B3" i="5"/>
  <c r="B4" i="5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3" i="6"/>
  <c r="B4" i="6"/>
  <c r="B5" i="6"/>
  <c r="B6" i="6"/>
  <c r="B7" i="6"/>
  <c r="B8" i="6"/>
  <c r="B9" i="6"/>
  <c r="B2" i="6"/>
  <c r="B2" i="4"/>
  <c r="B2" i="2"/>
</calcChain>
</file>

<file path=xl/sharedStrings.xml><?xml version="1.0" encoding="utf-8"?>
<sst xmlns="http://schemas.openxmlformats.org/spreadsheetml/2006/main" count="962" uniqueCount="153">
  <si>
    <t>Driver</t>
  </si>
  <si>
    <t>Michael Schumacher</t>
  </si>
  <si>
    <t>Rubens Barrichello</t>
  </si>
  <si>
    <t>Kimi Räikkönen</t>
  </si>
  <si>
    <t>David Coulthard</t>
  </si>
  <si>
    <t>Juan Pablo Montoya</t>
  </si>
  <si>
    <t>Ralf Schumacher</t>
  </si>
  <si>
    <t>Felipe Massa</t>
  </si>
  <si>
    <t>Nick Heidfeld</t>
  </si>
  <si>
    <t>Jacques Villeneuve</t>
  </si>
  <si>
    <t>Olivier Panis</t>
  </si>
  <si>
    <t>Jenson Button</t>
  </si>
  <si>
    <t>Jarno Trulli</t>
  </si>
  <si>
    <t>Takuma Sato</t>
  </si>
  <si>
    <t>Giancarlo Fisichella</t>
  </si>
  <si>
    <t>Pedro de la Rosa</t>
  </si>
  <si>
    <t>Eddie Irvine</t>
  </si>
  <si>
    <t>Mark Webber</t>
  </si>
  <si>
    <t>Alex Yoong</t>
  </si>
  <si>
    <t>Enrique Bernoldi</t>
  </si>
  <si>
    <t>Heinz-Harald Frentzen</t>
  </si>
  <si>
    <t>Mika Salo</t>
  </si>
  <si>
    <t>Allan McNish</t>
  </si>
  <si>
    <t>SUM</t>
  </si>
  <si>
    <t>Australia</t>
  </si>
  <si>
    <t>Malaysia</t>
  </si>
  <si>
    <t>Brazil</t>
  </si>
  <si>
    <t>San Marino</t>
  </si>
  <si>
    <t>Spain</t>
  </si>
  <si>
    <t>Austria</t>
  </si>
  <si>
    <t>Monaco</t>
  </si>
  <si>
    <t>Canada</t>
  </si>
  <si>
    <t>Europe</t>
  </si>
  <si>
    <t>Great Britain</t>
  </si>
  <si>
    <t>France</t>
  </si>
  <si>
    <t>Germany</t>
  </si>
  <si>
    <t>Hungary</t>
  </si>
  <si>
    <t>Belgium</t>
  </si>
  <si>
    <t>Italy</t>
  </si>
  <si>
    <t>United States</t>
  </si>
  <si>
    <t>Japan</t>
  </si>
  <si>
    <t>Mexico</t>
  </si>
  <si>
    <t>Portugal</t>
  </si>
  <si>
    <t>South Africa</t>
  </si>
  <si>
    <t>Fernando Alonso</t>
  </si>
  <si>
    <t>Ralph Firman</t>
  </si>
  <si>
    <t>Antônio Pizzonia</t>
  </si>
  <si>
    <t>Jos Verstappen</t>
  </si>
  <si>
    <t>Justin Wilson</t>
  </si>
  <si>
    <t>Cristiano da Matta</t>
  </si>
  <si>
    <t>Pacific</t>
  </si>
  <si>
    <t>Argentina</t>
  </si>
  <si>
    <t>Anthony Davidson</t>
  </si>
  <si>
    <t>Marc Gene</t>
  </si>
  <si>
    <t>Fernando Alonso</t>
  </si>
  <si>
    <t>Heinz-Harald Frentzen</t>
  </si>
  <si>
    <t>Cristiano da Matta</t>
  </si>
  <si>
    <t>Ralph Firman</t>
  </si>
  <si>
    <t>Justin Wilson</t>
  </si>
  <si>
    <t>Antonio Pizzonia</t>
  </si>
  <si>
    <t>Nicolas Kiesa</t>
  </si>
  <si>
    <t>Zsolt Baumgartner</t>
  </si>
  <si>
    <t>Christian Klien</t>
  </si>
  <si>
    <t>Timo Glock</t>
  </si>
  <si>
    <t>Ricardo Zonta</t>
  </si>
  <si>
    <t>Giorgio Pantano</t>
  </si>
  <si>
    <t>Gianmaria Bruni</t>
  </si>
  <si>
    <t>Tiago Monteiro</t>
  </si>
  <si>
    <t>Alexander Wurz</t>
  </si>
  <si>
    <t>Narain Karthikeyan</t>
  </si>
  <si>
    <t>Christijan Albers</t>
  </si>
  <si>
    <t>Patrick Friesacher</t>
  </si>
  <si>
    <t>Vitantonio Liuzzi</t>
  </si>
  <si>
    <t>Robert Doornbos</t>
  </si>
  <si>
    <t>Robert Kubica</t>
  </si>
  <si>
    <t>Nico Rosberg</t>
  </si>
  <si>
    <t>Scott Speed</t>
  </si>
  <si>
    <t>Yuji Ide</t>
  </si>
  <si>
    <t>Sakon Yamamoto</t>
  </si>
  <si>
    <t>Franck Montagny</t>
  </si>
  <si>
    <t>Lewis Hamilton</t>
  </si>
  <si>
    <t>Heikki Kovalainen</t>
  </si>
  <si>
    <t>Sebastian Vettel</t>
  </si>
  <si>
    <t>Adrian Sutil</t>
  </si>
  <si>
    <t>Kazuki Nakajima</t>
  </si>
  <si>
    <t>Anthony Davidson</t>
  </si>
  <si>
    <t>Nelson Piquet</t>
  </si>
  <si>
    <t>Sebastien Bourdais</t>
  </si>
  <si>
    <t>Sebastien Buemi</t>
  </si>
  <si>
    <t>Kamui Kobayashi</t>
  </si>
  <si>
    <t>Romain Grosjean</t>
  </si>
  <si>
    <t>Jaime Alguersuari</t>
  </si>
  <si>
    <t>Luca Badoer</t>
  </si>
  <si>
    <t>Vitaly Petrov</t>
  </si>
  <si>
    <t>Nico Hulkenberg</t>
  </si>
  <si>
    <t>Karun Chandhok</t>
  </si>
  <si>
    <t>Bruno Senna</t>
  </si>
  <si>
    <t>Lucas di Grassi</t>
  </si>
  <si>
    <t>Paul di Resta</t>
  </si>
  <si>
    <t>Sergio Perez</t>
  </si>
  <si>
    <t>Pastor Maldonado</t>
  </si>
  <si>
    <t>Jerome d'Ambrosio</t>
  </si>
  <si>
    <t>Daniel Ricciardo</t>
  </si>
  <si>
    <t>Jean-Eric Vergne</t>
  </si>
  <si>
    <t>Charles Pic</t>
  </si>
  <si>
    <t>Esteban Gutierrez</t>
  </si>
  <si>
    <t>Valtteri Bottas</t>
  </si>
  <si>
    <t>Jules Bianchi</t>
  </si>
  <si>
    <t>Giedo van der Garde</t>
  </si>
  <si>
    <t>Max Chilton</t>
  </si>
  <si>
    <t>Kevin Magnussen</t>
  </si>
  <si>
    <t>Daniil Kvyat</t>
  </si>
  <si>
    <t>Marcus Ericsson</t>
  </si>
  <si>
    <t>Will Stevens</t>
  </si>
  <si>
    <t>Max Verstappen</t>
  </si>
  <si>
    <t>Felipe Nasr</t>
  </si>
  <si>
    <t>Carlos Sainz</t>
  </si>
  <si>
    <t>Roberto Merhi</t>
  </si>
  <si>
    <t>Alexander Rossi</t>
  </si>
  <si>
    <t>Jolyon Palmer</t>
  </si>
  <si>
    <t>Pascal Wehrlein</t>
  </si>
  <si>
    <t>Stoffel Vandoorne</t>
  </si>
  <si>
    <t>Esteban Ocon</t>
  </si>
  <si>
    <t>Rio Haryanto</t>
  </si>
  <si>
    <t>Lance Stroll</t>
  </si>
  <si>
    <t>Pierre Gasly</t>
  </si>
  <si>
    <t>Antonio Giovinazzi</t>
  </si>
  <si>
    <t>Brendon Hartley</t>
  </si>
  <si>
    <t>Charles Leclerc</t>
  </si>
  <si>
    <t>Sergey Sirotkin</t>
  </si>
  <si>
    <t>Alexander Albon</t>
  </si>
  <si>
    <t>Lando Norris</t>
  </si>
  <si>
    <t>George Russell</t>
  </si>
  <si>
    <t>Nicholas Latifi</t>
  </si>
  <si>
    <t>Jack Aitken</t>
  </si>
  <si>
    <t>Pietro Fittipaldi</t>
  </si>
  <si>
    <t>Yuki Tsunoda</t>
  </si>
  <si>
    <t>Mick Schumacher</t>
  </si>
  <si>
    <t>Nikita Mazepin</t>
  </si>
  <si>
    <t>Zhou Guanyu</t>
  </si>
  <si>
    <t>Nyck De Vries</t>
  </si>
  <si>
    <t>Oscar Piastri</t>
  </si>
  <si>
    <t>Liam Lawson</t>
  </si>
  <si>
    <t>Logan Sargeant</t>
  </si>
  <si>
    <t>Oliver Bearman</t>
  </si>
  <si>
    <t>Franco Colapinto</t>
  </si>
  <si>
    <t>Jack Doohan</t>
  </si>
  <si>
    <t>Kimi Antonelli</t>
  </si>
  <si>
    <t>Isack Hadjar</t>
  </si>
  <si>
    <t>Gabriel Bortoleto</t>
  </si>
  <si>
    <t>Arvid Lindblad</t>
  </si>
  <si>
    <t>Luca Badoer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</si>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</sst>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rmula1.com/en/results/2026/drivers/VALBOT01/valtteri-bottas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rmula1.com/en/results/2026/drivers/VALBOT01/valtteri-botta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0</xdr:col>
      <xdr:colOff>304800</xdr:colOff>
      <xdr:row>145</xdr:row>
      <xdr:rowOff>114300</xdr:rowOff>
    </xdr:to>
    <xdr:sp macro="" textlink="">
      <xdr:nvSpPr>
        <xdr:cNvPr id="2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3E2722-7405-4FAD-9FFE-86DD60A773DD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304800</xdr:colOff>
      <xdr:row>145</xdr:row>
      <xdr:rowOff>114300</xdr:rowOff>
    </xdr:to>
    <xdr:sp macro="" textlink="">
      <xdr:nvSpPr>
        <xdr:cNvPr id="3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D26C26-931C-4DA0-A2E4-9DD2AA59A5EB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114300</xdr:rowOff>
    </xdr:to>
    <xdr:sp macro="" textlink="">
      <xdr:nvSpPr>
        <xdr:cNvPr id="37907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C39A74-EDC8-0411-5885-812B0B5C9F85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114300</xdr:rowOff>
    </xdr:to>
    <xdr:sp macro="" textlink="">
      <xdr:nvSpPr>
        <xdr:cNvPr id="37909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9FC7EB-B2FF-3FE9-DA70-A559D5ECCC2C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E69D-1A9D-4213-BBC7-B7EBD153B749}">
  <dimension ref="A1:AL126"/>
  <sheetViews>
    <sheetView topLeftCell="O1" zoomScale="85" zoomScaleNormal="85" workbookViewId="0">
      <selection activeCell="AE2" sqref="AE2"/>
    </sheetView>
  </sheetViews>
  <sheetFormatPr defaultRowHeight="15" x14ac:dyDescent="0.25"/>
  <cols>
    <col min="1" max="1" width="22.28515625" bestFit="1" customWidth="1"/>
    <col min="2" max="2" width="22.28515625" customWidth="1"/>
  </cols>
  <sheetData>
    <row r="1" spans="1:38" x14ac:dyDescent="0.25">
      <c r="A1" t="s">
        <v>0</v>
      </c>
      <c r="C1">
        <v>2026</v>
      </c>
      <c r="D1">
        <v>2025</v>
      </c>
      <c r="E1">
        <v>2024</v>
      </c>
      <c r="F1">
        <v>2023</v>
      </c>
      <c r="G1">
        <v>2022</v>
      </c>
      <c r="H1">
        <v>2021</v>
      </c>
      <c r="I1">
        <v>2020</v>
      </c>
      <c r="J1">
        <v>2019</v>
      </c>
      <c r="K1">
        <v>2018</v>
      </c>
      <c r="L1">
        <v>2017</v>
      </c>
      <c r="M1">
        <v>2016</v>
      </c>
      <c r="N1">
        <v>2015</v>
      </c>
      <c r="O1">
        <v>2014</v>
      </c>
      <c r="P1">
        <v>2013</v>
      </c>
      <c r="Q1">
        <v>2012</v>
      </c>
      <c r="R1">
        <v>2011</v>
      </c>
      <c r="S1">
        <v>2010</v>
      </c>
      <c r="T1">
        <v>2009</v>
      </c>
      <c r="U1">
        <v>2008</v>
      </c>
      <c r="V1">
        <v>2007</v>
      </c>
      <c r="W1">
        <v>2006</v>
      </c>
      <c r="X1">
        <v>2005</v>
      </c>
      <c r="Y1">
        <v>2004</v>
      </c>
      <c r="Z1">
        <v>2003</v>
      </c>
      <c r="AA1">
        <v>2002</v>
      </c>
      <c r="AB1">
        <v>2001</v>
      </c>
      <c r="AC1">
        <v>2000</v>
      </c>
      <c r="AD1">
        <v>1999</v>
      </c>
      <c r="AE1">
        <v>1998</v>
      </c>
      <c r="AF1">
        <v>1997</v>
      </c>
      <c r="AG1">
        <v>1996</v>
      </c>
      <c r="AH1">
        <v>1995</v>
      </c>
      <c r="AI1">
        <v>1994</v>
      </c>
      <c r="AJ1">
        <v>1993</v>
      </c>
      <c r="AK1">
        <v>1992</v>
      </c>
      <c r="AL1">
        <v>1991</v>
      </c>
    </row>
    <row r="2" spans="1:38" x14ac:dyDescent="0.25">
      <c r="A2" t="s">
        <v>1</v>
      </c>
      <c r="AF2">
        <v>874</v>
      </c>
      <c r="AG2">
        <v>721</v>
      </c>
      <c r="AH2">
        <v>965</v>
      </c>
      <c r="AI2">
        <v>747</v>
      </c>
      <c r="AJ2">
        <v>726</v>
      </c>
      <c r="AK2">
        <v>888</v>
      </c>
      <c r="AL2">
        <v>228</v>
      </c>
    </row>
    <row r="3" spans="1:38" x14ac:dyDescent="0.25">
      <c r="A3" t="s">
        <v>2</v>
      </c>
      <c r="AF3">
        <v>591</v>
      </c>
      <c r="AG3">
        <v>784</v>
      </c>
      <c r="AH3">
        <v>824</v>
      </c>
      <c r="AI3">
        <v>695</v>
      </c>
      <c r="AJ3">
        <v>650</v>
      </c>
      <c r="AK3" s="1">
        <v>0</v>
      </c>
      <c r="AL3" s="1">
        <v>0</v>
      </c>
    </row>
    <row r="4" spans="1:38" x14ac:dyDescent="0.25">
      <c r="A4" t="s">
        <v>3</v>
      </c>
      <c r="AC4" s="1"/>
      <c r="AD4" s="1"/>
      <c r="AE4" s="1"/>
      <c r="AF4" s="1"/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</row>
    <row r="5" spans="1:38" x14ac:dyDescent="0.25">
      <c r="A5" t="s">
        <v>4</v>
      </c>
      <c r="AF5">
        <v>788</v>
      </c>
      <c r="AG5">
        <v>738</v>
      </c>
      <c r="AH5">
        <v>781</v>
      </c>
      <c r="AI5">
        <v>402</v>
      </c>
      <c r="AJ5" s="1">
        <v>0</v>
      </c>
      <c r="AK5" s="1">
        <v>0</v>
      </c>
      <c r="AL5" s="1">
        <v>0</v>
      </c>
    </row>
    <row r="6" spans="1:38" x14ac:dyDescent="0.25">
      <c r="A6" t="s">
        <v>5</v>
      </c>
      <c r="AC6" s="1"/>
      <c r="AD6" s="1"/>
      <c r="AE6" s="1"/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</row>
    <row r="7" spans="1:38" x14ac:dyDescent="0.25">
      <c r="A7" t="s">
        <v>6</v>
      </c>
      <c r="AF7">
        <v>697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</row>
    <row r="8" spans="1:38" x14ac:dyDescent="0.25">
      <c r="A8" t="s">
        <v>7</v>
      </c>
      <c r="AB8" s="1"/>
      <c r="AC8" s="1"/>
      <c r="AD8" s="1"/>
      <c r="AE8" s="1"/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</row>
    <row r="9" spans="1:38" x14ac:dyDescent="0.25">
      <c r="A9" t="s">
        <v>8</v>
      </c>
      <c r="AD9" s="1"/>
      <c r="AE9" s="1"/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</row>
    <row r="10" spans="1:38" x14ac:dyDescent="0.25">
      <c r="A10" t="s">
        <v>9</v>
      </c>
      <c r="AF10">
        <v>810</v>
      </c>
      <c r="AG10">
        <v>937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</row>
    <row r="11" spans="1:38" x14ac:dyDescent="0.25">
      <c r="A11" t="s">
        <v>10</v>
      </c>
      <c r="AF11">
        <v>558</v>
      </c>
      <c r="AG11">
        <v>729</v>
      </c>
      <c r="AH11">
        <v>849</v>
      </c>
      <c r="AI11">
        <v>906</v>
      </c>
      <c r="AJ11" s="1">
        <v>0</v>
      </c>
      <c r="AK11" s="1">
        <v>0</v>
      </c>
      <c r="AL11" s="1">
        <v>0</v>
      </c>
    </row>
    <row r="12" spans="1:38" x14ac:dyDescent="0.25">
      <c r="A12" t="s">
        <v>11</v>
      </c>
      <c r="AD12" s="1"/>
      <c r="AE12" s="1"/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</row>
    <row r="13" spans="1:38" x14ac:dyDescent="0.25">
      <c r="A13" t="s">
        <v>12</v>
      </c>
      <c r="AF13">
        <v>701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</row>
    <row r="14" spans="1:38" x14ac:dyDescent="0.25">
      <c r="A14" t="s">
        <v>13</v>
      </c>
      <c r="AB14" s="1"/>
      <c r="AC14" s="1"/>
      <c r="AD14" s="1"/>
      <c r="AE14" s="1"/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</row>
    <row r="15" spans="1:38" x14ac:dyDescent="0.25">
      <c r="A15" t="s">
        <v>14</v>
      </c>
      <c r="AF15">
        <v>851</v>
      </c>
      <c r="AG15">
        <v>256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</row>
    <row r="16" spans="1:38" x14ac:dyDescent="0.25">
      <c r="A16" t="s">
        <v>15</v>
      </c>
      <c r="AE16" s="1"/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</row>
    <row r="17" spans="1:38" x14ac:dyDescent="0.25">
      <c r="A17" t="s">
        <v>16</v>
      </c>
      <c r="AF17">
        <v>800</v>
      </c>
      <c r="AG17">
        <v>575</v>
      </c>
      <c r="AH17">
        <v>814</v>
      </c>
      <c r="AI17">
        <v>447</v>
      </c>
      <c r="AJ17">
        <v>63</v>
      </c>
      <c r="AK17" s="1">
        <v>0</v>
      </c>
      <c r="AL17" s="1">
        <v>0</v>
      </c>
    </row>
    <row r="18" spans="1:38" x14ac:dyDescent="0.25">
      <c r="A18" t="s">
        <v>17</v>
      </c>
      <c r="AB18" s="1"/>
      <c r="AC18" s="1"/>
      <c r="AD18" s="1"/>
      <c r="AE18" s="1"/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</row>
    <row r="19" spans="1:38" x14ac:dyDescent="0.25">
      <c r="A19" t="s">
        <v>85</v>
      </c>
      <c r="AB19" s="1"/>
      <c r="AC19" s="1"/>
      <c r="AD19" s="1"/>
      <c r="AE19" s="1"/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</row>
    <row r="20" spans="1:38" x14ac:dyDescent="0.25">
      <c r="A20" t="s">
        <v>18</v>
      </c>
      <c r="AC20" s="1"/>
      <c r="AD20" s="1"/>
      <c r="AE20" s="1"/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</row>
    <row r="21" spans="1:38" x14ac:dyDescent="0.25">
      <c r="A21" t="s">
        <v>19</v>
      </c>
      <c r="AC21" s="1"/>
      <c r="AD21" s="1"/>
      <c r="AE21" s="1"/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</row>
    <row r="22" spans="1:38" x14ac:dyDescent="0.25">
      <c r="A22" t="s">
        <v>55</v>
      </c>
      <c r="AF22">
        <v>810</v>
      </c>
      <c r="AG22">
        <v>711</v>
      </c>
      <c r="AH22">
        <v>903</v>
      </c>
      <c r="AI22">
        <v>610</v>
      </c>
      <c r="AJ22" s="1">
        <v>0</v>
      </c>
      <c r="AK22" s="1">
        <v>0</v>
      </c>
      <c r="AL22" s="1">
        <v>0</v>
      </c>
    </row>
    <row r="23" spans="1:38" x14ac:dyDescent="0.25">
      <c r="A23" t="s">
        <v>21</v>
      </c>
      <c r="AF23">
        <v>903</v>
      </c>
      <c r="AG23">
        <v>627</v>
      </c>
      <c r="AH23">
        <v>957</v>
      </c>
      <c r="AI23">
        <v>98</v>
      </c>
      <c r="AJ23" s="1">
        <v>0</v>
      </c>
      <c r="AK23" s="1">
        <v>0</v>
      </c>
      <c r="AL23" s="1">
        <v>0</v>
      </c>
    </row>
    <row r="24" spans="1:38" x14ac:dyDescent="0.25">
      <c r="A24" t="s">
        <v>22</v>
      </c>
      <c r="AB24" s="1"/>
      <c r="AC24" s="1"/>
      <c r="AD24" s="1"/>
      <c r="AE24" s="1"/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</row>
    <row r="25" spans="1:38" x14ac:dyDescent="0.25">
      <c r="A25" t="s">
        <v>44</v>
      </c>
      <c r="AC25" s="1"/>
      <c r="AD25" s="1"/>
      <c r="AE25" s="1"/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</row>
    <row r="26" spans="1:38" x14ac:dyDescent="0.25">
      <c r="A26" t="s">
        <v>45</v>
      </c>
      <c r="AA26" s="1"/>
      <c r="AB26" s="1"/>
      <c r="AC26" s="1"/>
      <c r="AD26" s="1"/>
      <c r="AE26" s="1"/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</row>
    <row r="27" spans="1:38" x14ac:dyDescent="0.25">
      <c r="A27" t="s">
        <v>46</v>
      </c>
      <c r="AA27" s="1"/>
      <c r="AB27" s="1"/>
      <c r="AC27" s="1"/>
      <c r="AD27" s="1"/>
      <c r="AE27" s="1"/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</row>
    <row r="28" spans="1:38" x14ac:dyDescent="0.25">
      <c r="A28" t="s">
        <v>47</v>
      </c>
      <c r="AF28">
        <v>781</v>
      </c>
      <c r="AG28">
        <v>480</v>
      </c>
      <c r="AH28">
        <v>116</v>
      </c>
      <c r="AI28">
        <v>394</v>
      </c>
      <c r="AJ28" s="1">
        <v>0</v>
      </c>
      <c r="AK28" s="1">
        <v>0</v>
      </c>
      <c r="AL28" s="1">
        <v>0</v>
      </c>
    </row>
    <row r="29" spans="1:38" x14ac:dyDescent="0.25">
      <c r="A29" t="s">
        <v>48</v>
      </c>
      <c r="AA29" s="1"/>
      <c r="AB29" s="1"/>
      <c r="AC29" s="1"/>
      <c r="AD29" s="1"/>
      <c r="AE29" s="1"/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</row>
    <row r="30" spans="1:38" x14ac:dyDescent="0.25">
      <c r="A30" t="s">
        <v>49</v>
      </c>
      <c r="AA30" s="1"/>
      <c r="AB30" s="1"/>
      <c r="AC30" s="1"/>
      <c r="AD30" s="1"/>
      <c r="AE30" s="1"/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</row>
    <row r="31" spans="1:38" x14ac:dyDescent="0.25">
      <c r="A31" t="s">
        <v>54</v>
      </c>
      <c r="AC31" s="1"/>
      <c r="AD31" s="1"/>
      <c r="AE31" s="1"/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</row>
    <row r="32" spans="1:38" x14ac:dyDescent="0.25">
      <c r="A32" t="s">
        <v>56</v>
      </c>
      <c r="AA32" s="1"/>
      <c r="AB32" s="1"/>
      <c r="AC32" s="1"/>
      <c r="AD32" s="1"/>
      <c r="AE32" s="1"/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</row>
    <row r="33" spans="1:38" x14ac:dyDescent="0.25">
      <c r="A33" t="s">
        <v>53</v>
      </c>
      <c r="AE33" s="1"/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</row>
    <row r="34" spans="1:38" x14ac:dyDescent="0.25">
      <c r="A34" t="s">
        <v>57</v>
      </c>
      <c r="AA34" s="1"/>
      <c r="AB34" s="1"/>
      <c r="AC34" s="1"/>
      <c r="AD34" s="1"/>
      <c r="AE34" s="1"/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</row>
    <row r="35" spans="1:38" x14ac:dyDescent="0.25">
      <c r="A35" t="s">
        <v>58</v>
      </c>
      <c r="AA35" s="1"/>
      <c r="AB35" s="1"/>
      <c r="AC35" s="1"/>
      <c r="AD35" s="1"/>
      <c r="AE35" s="1"/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</row>
    <row r="36" spans="1:38" x14ac:dyDescent="0.25">
      <c r="A36" t="s">
        <v>59</v>
      </c>
      <c r="AA36" s="1"/>
      <c r="AB36" s="1"/>
      <c r="AC36" s="1"/>
      <c r="AD36" s="1"/>
      <c r="AE36" s="1"/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</row>
    <row r="37" spans="1:38" x14ac:dyDescent="0.25">
      <c r="A37" t="s">
        <v>60</v>
      </c>
      <c r="AA37" s="1"/>
      <c r="AB37" s="1"/>
      <c r="AC37" s="1"/>
      <c r="AD37" s="1"/>
      <c r="AE37" s="1"/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</row>
    <row r="38" spans="1:38" x14ac:dyDescent="0.25">
      <c r="A38" t="s">
        <v>61</v>
      </c>
      <c r="AA38" s="1"/>
      <c r="AB38" s="1"/>
      <c r="AC38" s="1"/>
      <c r="AD38" s="1"/>
      <c r="AE38" s="1"/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</row>
    <row r="39" spans="1:38" x14ac:dyDescent="0.25">
      <c r="A39" t="s">
        <v>62</v>
      </c>
      <c r="Z39" s="1"/>
      <c r="AA39" s="1"/>
      <c r="AB39" s="1"/>
      <c r="AC39" s="1"/>
      <c r="AD39" s="1"/>
      <c r="AE39" s="1"/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</row>
    <row r="40" spans="1:38" x14ac:dyDescent="0.25">
      <c r="A40" t="s">
        <v>63</v>
      </c>
      <c r="Z40" s="1"/>
      <c r="AA40" s="1"/>
      <c r="AB40" s="1"/>
      <c r="AC40" s="1"/>
      <c r="AD40" s="1"/>
      <c r="AE40" s="1"/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</row>
    <row r="41" spans="1:38" x14ac:dyDescent="0.25">
      <c r="A41" t="s">
        <v>64</v>
      </c>
      <c r="AE41" s="1"/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</row>
    <row r="42" spans="1:38" x14ac:dyDescent="0.25">
      <c r="A42" t="s">
        <v>65</v>
      </c>
      <c r="Z42" s="1"/>
      <c r="AA42" s="1"/>
      <c r="AB42" s="1"/>
      <c r="AC42" s="1"/>
      <c r="AD42" s="1"/>
      <c r="AE42" s="1"/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</row>
    <row r="43" spans="1:38" x14ac:dyDescent="0.25">
      <c r="A43" t="s">
        <v>66</v>
      </c>
      <c r="Z43" s="1"/>
      <c r="AA43" s="1"/>
      <c r="AB43" s="1"/>
      <c r="AC43" s="1"/>
      <c r="AD43" s="1"/>
      <c r="AE43" s="1"/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</row>
    <row r="44" spans="1:38" x14ac:dyDescent="0.25">
      <c r="A44" t="s">
        <v>67</v>
      </c>
      <c r="Y44" s="1"/>
      <c r="Z44" s="1"/>
      <c r="AA44" s="1"/>
      <c r="AB44" s="1"/>
      <c r="AC44" s="1"/>
      <c r="AD44" s="1"/>
      <c r="AE44" s="1"/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</row>
    <row r="45" spans="1:38" x14ac:dyDescent="0.25">
      <c r="A45" t="s">
        <v>68</v>
      </c>
      <c r="AF45">
        <v>154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</row>
    <row r="46" spans="1:38" x14ac:dyDescent="0.25">
      <c r="A46" t="s">
        <v>69</v>
      </c>
      <c r="Y46" s="1"/>
      <c r="Z46" s="1"/>
      <c r="AA46" s="1"/>
      <c r="AB46" s="1"/>
      <c r="AC46" s="1"/>
      <c r="AD46" s="1"/>
      <c r="AE46" s="1"/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</row>
    <row r="47" spans="1:38" x14ac:dyDescent="0.25">
      <c r="A47" t="s">
        <v>70</v>
      </c>
      <c r="Y47" s="1"/>
      <c r="Z47" s="1"/>
      <c r="AA47" s="1"/>
      <c r="AB47" s="1"/>
      <c r="AC47" s="1"/>
      <c r="AD47" s="1"/>
      <c r="AE47" s="1"/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</row>
    <row r="48" spans="1:38" x14ac:dyDescent="0.25">
      <c r="A48" t="s">
        <v>71</v>
      </c>
      <c r="Y48" s="1"/>
      <c r="Z48" s="1"/>
      <c r="AA48" s="1"/>
      <c r="AB48" s="1"/>
      <c r="AC48" s="1"/>
      <c r="AD48" s="1"/>
      <c r="AE48" s="1"/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</row>
    <row r="49" spans="1:38" x14ac:dyDescent="0.25">
      <c r="A49" t="s">
        <v>72</v>
      </c>
      <c r="Y49" s="1"/>
      <c r="Z49" s="1"/>
      <c r="AA49" s="1"/>
      <c r="AB49" s="1"/>
      <c r="AC49" s="1"/>
      <c r="AD49" s="1"/>
      <c r="AE49" s="1"/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</row>
    <row r="50" spans="1:38" x14ac:dyDescent="0.25">
      <c r="A50" t="s">
        <v>73</v>
      </c>
      <c r="Y50" s="1"/>
      <c r="Z50" s="1"/>
      <c r="AA50" s="1"/>
      <c r="AB50" s="1"/>
      <c r="AC50" s="1"/>
      <c r="AD50" s="1"/>
      <c r="AE50" s="1"/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</row>
    <row r="51" spans="1:38" x14ac:dyDescent="0.25">
      <c r="A51" t="s">
        <v>74</v>
      </c>
      <c r="X51" s="1"/>
      <c r="Y51" s="1"/>
      <c r="Z51" s="1"/>
      <c r="AA51" s="1"/>
      <c r="AB51" s="1"/>
      <c r="AC51" s="1"/>
      <c r="AD51" s="1"/>
      <c r="AE51" s="1"/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</row>
    <row r="52" spans="1:38" x14ac:dyDescent="0.25">
      <c r="A52" t="s">
        <v>75</v>
      </c>
      <c r="X52" s="1"/>
      <c r="Y52" s="1"/>
      <c r="Z52" s="1"/>
      <c r="AA52" s="1"/>
      <c r="AB52" s="1"/>
      <c r="AC52" s="1"/>
      <c r="AD52" s="1"/>
      <c r="AE52" s="1"/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</row>
    <row r="53" spans="1:38" x14ac:dyDescent="0.25">
      <c r="A53" t="s">
        <v>76</v>
      </c>
      <c r="X53" s="1"/>
      <c r="Y53" s="1"/>
      <c r="Z53" s="1"/>
      <c r="AA53" s="1"/>
      <c r="AB53" s="1"/>
      <c r="AC53" s="1"/>
      <c r="AD53" s="1"/>
      <c r="AE53" s="1"/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</row>
    <row r="54" spans="1:38" x14ac:dyDescent="0.25">
      <c r="A54" t="s">
        <v>77</v>
      </c>
      <c r="X54" s="1"/>
      <c r="Y54" s="1"/>
      <c r="Z54" s="1"/>
      <c r="AA54" s="1"/>
      <c r="AB54" s="1"/>
      <c r="AC54" s="1"/>
      <c r="AD54" s="1"/>
      <c r="AE54" s="1"/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</row>
    <row r="55" spans="1:38" x14ac:dyDescent="0.25">
      <c r="A55" t="s">
        <v>78</v>
      </c>
      <c r="X55" s="1"/>
      <c r="Y55" s="1"/>
      <c r="Z55" s="1"/>
      <c r="AA55" s="1"/>
      <c r="AB55" s="1"/>
      <c r="AC55" s="1"/>
      <c r="AD55" s="1"/>
      <c r="AE55" s="1"/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</row>
    <row r="56" spans="1:38" x14ac:dyDescent="0.25">
      <c r="A56" t="s">
        <v>79</v>
      </c>
      <c r="X56" s="1"/>
      <c r="Y56" s="1"/>
      <c r="Z56" s="1"/>
      <c r="AA56" s="1"/>
      <c r="AB56" s="1"/>
      <c r="AC56" s="1"/>
      <c r="AD56" s="1"/>
      <c r="AE56" s="1"/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</row>
    <row r="57" spans="1:38" x14ac:dyDescent="0.25">
      <c r="A57" t="s">
        <v>80</v>
      </c>
      <c r="W57" s="1"/>
      <c r="X57" s="1"/>
      <c r="Y57" s="1"/>
      <c r="Z57" s="1"/>
      <c r="AA57" s="1"/>
      <c r="AB57" s="1"/>
      <c r="AC57" s="1"/>
      <c r="AD57" s="1"/>
      <c r="AE57" s="1"/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</row>
    <row r="58" spans="1:38" x14ac:dyDescent="0.25">
      <c r="A58" t="s">
        <v>81</v>
      </c>
      <c r="W58" s="1"/>
      <c r="X58" s="1"/>
      <c r="Y58" s="1"/>
      <c r="Z58" s="1"/>
      <c r="AA58" s="1"/>
      <c r="AB58" s="1"/>
      <c r="AC58" s="1"/>
      <c r="AD58" s="1"/>
      <c r="AE58" s="1"/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</row>
    <row r="59" spans="1:38" x14ac:dyDescent="0.25">
      <c r="A59" t="s">
        <v>82</v>
      </c>
      <c r="W59" s="1"/>
      <c r="X59" s="1"/>
      <c r="Y59" s="1"/>
      <c r="Z59" s="1"/>
      <c r="AA59" s="1"/>
      <c r="AB59" s="1"/>
      <c r="AC59" s="1"/>
      <c r="AD59" s="1"/>
      <c r="AE59" s="1"/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</row>
    <row r="60" spans="1:38" x14ac:dyDescent="0.25">
      <c r="A60" t="s">
        <v>83</v>
      </c>
      <c r="W60" s="1"/>
      <c r="X60" s="1"/>
      <c r="Y60" s="1"/>
      <c r="Z60" s="1"/>
      <c r="AA60" s="1"/>
      <c r="AB60" s="1"/>
      <c r="AC60" s="1"/>
      <c r="AD60" s="1"/>
      <c r="AE60" s="1"/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</row>
    <row r="61" spans="1:38" x14ac:dyDescent="0.25">
      <c r="A61" t="s">
        <v>84</v>
      </c>
      <c r="W61" s="1"/>
      <c r="X61" s="1"/>
      <c r="Y61" s="1"/>
      <c r="Z61" s="1"/>
      <c r="AA61" s="1"/>
      <c r="AB61" s="1"/>
      <c r="AC61" s="1"/>
      <c r="AD61" s="1"/>
      <c r="AE61" s="1"/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</row>
    <row r="62" spans="1:38" x14ac:dyDescent="0.25">
      <c r="A62" t="s">
        <v>86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</row>
    <row r="63" spans="1:38" x14ac:dyDescent="0.25">
      <c r="A63" t="s">
        <v>87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</row>
    <row r="64" spans="1:38" x14ac:dyDescent="0.25">
      <c r="A64" t="s">
        <v>88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</row>
    <row r="65" spans="1:38" x14ac:dyDescent="0.25">
      <c r="A65" t="s">
        <v>89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</row>
    <row r="66" spans="1:38" x14ac:dyDescent="0.25">
      <c r="A66" t="s">
        <v>90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</row>
    <row r="67" spans="1:38" x14ac:dyDescent="0.25">
      <c r="A67" t="s">
        <v>91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</row>
    <row r="68" spans="1:38" x14ac:dyDescent="0.25">
      <c r="A68" t="s">
        <v>92</v>
      </c>
      <c r="AE68" s="1"/>
      <c r="AF68" s="1">
        <v>0</v>
      </c>
      <c r="AG68">
        <v>283</v>
      </c>
      <c r="AH68">
        <v>807</v>
      </c>
      <c r="AI68" s="1">
        <v>0</v>
      </c>
      <c r="AJ68">
        <v>516</v>
      </c>
      <c r="AK68" s="1">
        <v>0</v>
      </c>
      <c r="AL68" s="1">
        <v>0</v>
      </c>
    </row>
    <row r="69" spans="1:38" x14ac:dyDescent="0.25">
      <c r="A69" t="s">
        <v>93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</row>
    <row r="70" spans="1:38" x14ac:dyDescent="0.25">
      <c r="A70" t="s">
        <v>94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</row>
    <row r="71" spans="1:38" x14ac:dyDescent="0.25">
      <c r="A71" t="s">
        <v>95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</row>
    <row r="72" spans="1:38" x14ac:dyDescent="0.25">
      <c r="A72" t="s">
        <v>96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</row>
    <row r="73" spans="1:38" x14ac:dyDescent="0.25">
      <c r="A73" t="s">
        <v>97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</row>
    <row r="74" spans="1:38" x14ac:dyDescent="0.25">
      <c r="A74" t="s">
        <v>98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</row>
    <row r="75" spans="1:38" x14ac:dyDescent="0.25">
      <c r="A75" t="s">
        <v>99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</row>
    <row r="76" spans="1:38" x14ac:dyDescent="0.25">
      <c r="A76" t="s">
        <v>100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</row>
    <row r="77" spans="1:38" x14ac:dyDescent="0.25">
      <c r="A77" t="s">
        <v>101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</row>
    <row r="78" spans="1:38" x14ac:dyDescent="0.25">
      <c r="A78" t="s">
        <v>102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</row>
    <row r="79" spans="1:38" x14ac:dyDescent="0.25">
      <c r="A79" t="s">
        <v>103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</row>
    <row r="80" spans="1:38" x14ac:dyDescent="0.25">
      <c r="A80" t="s">
        <v>104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</row>
    <row r="81" spans="1:38" x14ac:dyDescent="0.25">
      <c r="A81" t="s">
        <v>105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</row>
    <row r="82" spans="1:38" x14ac:dyDescent="0.25">
      <c r="A82" t="s">
        <v>106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</row>
    <row r="83" spans="1:38" x14ac:dyDescent="0.25">
      <c r="A83" t="s">
        <v>107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</row>
    <row r="84" spans="1:38" x14ac:dyDescent="0.25">
      <c r="A84" t="s">
        <v>108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</row>
    <row r="85" spans="1:38" x14ac:dyDescent="0.25">
      <c r="A85" t="s">
        <v>109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</row>
    <row r="86" spans="1:38" x14ac:dyDescent="0.25">
      <c r="A86" t="s">
        <v>110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</row>
    <row r="87" spans="1:38" x14ac:dyDescent="0.25">
      <c r="A87" t="s">
        <v>111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</row>
    <row r="88" spans="1:38" x14ac:dyDescent="0.25">
      <c r="A88" t="s">
        <v>112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</row>
    <row r="89" spans="1:38" x14ac:dyDescent="0.25">
      <c r="A89" t="s">
        <v>113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</row>
    <row r="90" spans="1:38" x14ac:dyDescent="0.25">
      <c r="A90" t="s">
        <v>114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</row>
    <row r="91" spans="1:38" x14ac:dyDescent="0.25">
      <c r="A91" t="s">
        <v>115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</row>
    <row r="92" spans="1:38" x14ac:dyDescent="0.25">
      <c r="A92" t="s">
        <v>116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</row>
    <row r="93" spans="1:38" x14ac:dyDescent="0.25">
      <c r="A93" t="s">
        <v>117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</row>
    <row r="94" spans="1:38" x14ac:dyDescent="0.25">
      <c r="A94" t="s">
        <v>118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</row>
    <row r="95" spans="1:38" x14ac:dyDescent="0.25">
      <c r="A95" t="s">
        <v>119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</row>
    <row r="96" spans="1:38" x14ac:dyDescent="0.25">
      <c r="A96" t="s">
        <v>120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</row>
    <row r="97" spans="1:38" x14ac:dyDescent="0.25">
      <c r="A97" t="s">
        <v>121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</row>
    <row r="98" spans="1:38" x14ac:dyDescent="0.25">
      <c r="A98" t="s">
        <v>122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</row>
    <row r="99" spans="1:38" x14ac:dyDescent="0.25">
      <c r="A99" t="s">
        <v>123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</row>
    <row r="100" spans="1:38" x14ac:dyDescent="0.25">
      <c r="A100" t="s">
        <v>124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</row>
    <row r="101" spans="1:38" x14ac:dyDescent="0.25">
      <c r="A101" t="s">
        <v>125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</row>
    <row r="102" spans="1:38" x14ac:dyDescent="0.25">
      <c r="A102" t="s">
        <v>126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</row>
    <row r="103" spans="1:38" x14ac:dyDescent="0.25">
      <c r="A103" t="s">
        <v>127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</row>
    <row r="104" spans="1:38" x14ac:dyDescent="0.25">
      <c r="A104" t="s">
        <v>128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</row>
    <row r="105" spans="1:38" x14ac:dyDescent="0.25">
      <c r="A105" t="s">
        <v>129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</row>
    <row r="106" spans="1:38" x14ac:dyDescent="0.25">
      <c r="A106" t="s">
        <v>130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</row>
    <row r="107" spans="1:38" x14ac:dyDescent="0.25">
      <c r="A107" t="s">
        <v>131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</row>
    <row r="108" spans="1:38" x14ac:dyDescent="0.25">
      <c r="A108" t="s">
        <v>132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</row>
    <row r="109" spans="1:38" x14ac:dyDescent="0.25">
      <c r="A109" t="s">
        <v>133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</row>
    <row r="110" spans="1:38" x14ac:dyDescent="0.25">
      <c r="A110" t="s">
        <v>134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</row>
    <row r="111" spans="1:38" x14ac:dyDescent="0.25">
      <c r="A111" t="s">
        <v>135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</row>
    <row r="112" spans="1:38" x14ac:dyDescent="0.25">
      <c r="A112" t="s">
        <v>136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</row>
    <row r="113" spans="1:38" x14ac:dyDescent="0.25">
      <c r="A113" t="s">
        <v>137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</row>
    <row r="114" spans="1:38" x14ac:dyDescent="0.25">
      <c r="A114" t="s">
        <v>138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</row>
    <row r="115" spans="1:38" x14ac:dyDescent="0.25">
      <c r="A115" t="s">
        <v>139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</row>
    <row r="116" spans="1:38" x14ac:dyDescent="0.25">
      <c r="A116" t="s">
        <v>140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</row>
    <row r="117" spans="1:38" x14ac:dyDescent="0.25">
      <c r="A117" t="s">
        <v>141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</row>
    <row r="118" spans="1:38" x14ac:dyDescent="0.25">
      <c r="A118" t="s">
        <v>142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</row>
    <row r="119" spans="1:38" x14ac:dyDescent="0.25">
      <c r="A119" t="s">
        <v>143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</row>
    <row r="120" spans="1:38" x14ac:dyDescent="0.25">
      <c r="A120" t="s">
        <v>144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</row>
    <row r="121" spans="1:38" x14ac:dyDescent="0.25">
      <c r="A121" t="s">
        <v>145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</row>
    <row r="122" spans="1:38" x14ac:dyDescent="0.25">
      <c r="A122" t="s">
        <v>146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</row>
    <row r="123" spans="1:38" x14ac:dyDescent="0.25">
      <c r="A123" t="s">
        <v>147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</row>
    <row r="124" spans="1:38" x14ac:dyDescent="0.25">
      <c r="A124" t="s">
        <v>148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</row>
    <row r="125" spans="1:38" x14ac:dyDescent="0.25">
      <c r="A125" t="s">
        <v>149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</row>
    <row r="126" spans="1:38" x14ac:dyDescent="0.25">
      <c r="A126" t="s">
        <v>150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C39A2-025A-41B3-9C60-22F202BB8868}">
  <dimension ref="A1:R2"/>
  <sheetViews>
    <sheetView workbookViewId="0">
      <selection sqref="A1:E1"/>
    </sheetView>
  </sheetViews>
  <sheetFormatPr defaultRowHeight="15" x14ac:dyDescent="0.25"/>
  <cols>
    <col min="1" max="1" width="19.7109375" bestFit="1" customWidth="1"/>
    <col min="3" max="3" width="12.42578125" bestFit="1" customWidth="1"/>
    <col min="4" max="4" width="6" bestFit="1" customWidth="1"/>
    <col min="5" max="5" width="11" bestFit="1" customWidth="1"/>
    <col min="10" max="10" width="12" bestFit="1" customWidth="1"/>
  </cols>
  <sheetData>
    <row r="1" spans="1:18" x14ac:dyDescent="0.25">
      <c r="A1" t="s">
        <v>0</v>
      </c>
      <c r="B1" t="s">
        <v>23</v>
      </c>
      <c r="C1" t="s">
        <v>39</v>
      </c>
      <c r="D1" t="s">
        <v>26</v>
      </c>
      <c r="E1" t="s">
        <v>27</v>
      </c>
      <c r="F1" t="s">
        <v>30</v>
      </c>
      <c r="G1" t="s">
        <v>31</v>
      </c>
      <c r="H1" t="s">
        <v>41</v>
      </c>
      <c r="I1" t="s">
        <v>34</v>
      </c>
      <c r="J1" t="s">
        <v>33</v>
      </c>
      <c r="K1" t="s">
        <v>35</v>
      </c>
      <c r="L1" t="s">
        <v>36</v>
      </c>
      <c r="M1" t="s">
        <v>37</v>
      </c>
      <c r="N1" t="s">
        <v>38</v>
      </c>
      <c r="O1" t="s">
        <v>42</v>
      </c>
      <c r="P1" t="s">
        <v>28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228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53</v>
      </c>
      <c r="O2">
        <v>71</v>
      </c>
      <c r="P2">
        <v>65</v>
      </c>
      <c r="Q2">
        <v>34</v>
      </c>
      <c r="R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42C1-0B95-4CA1-8FA2-14D0BE967B15}">
  <dimension ref="A1:R2"/>
  <sheetViews>
    <sheetView zoomScale="85" zoomScaleNormal="85" workbookViewId="0">
      <selection activeCell="M15" sqref="M15"/>
    </sheetView>
  </sheetViews>
  <sheetFormatPr defaultRowHeight="15" x14ac:dyDescent="0.25"/>
  <cols>
    <col min="1" max="1" width="19.7109375" bestFit="1" customWidth="1"/>
    <col min="7" max="7" width="11" bestFit="1" customWidth="1"/>
    <col min="15" max="15" width="4.7109375" bestFit="1" customWidth="1"/>
    <col min="16" max="16" width="8.42578125" bestFit="1" customWidth="1"/>
    <col min="17" max="17" width="6.28515625" bestFit="1" customWidth="1"/>
    <col min="18" max="18" width="9" bestFit="1" customWidth="1"/>
  </cols>
  <sheetData>
    <row r="1" spans="1:18" x14ac:dyDescent="0.25">
      <c r="A1" t="s">
        <v>0</v>
      </c>
      <c r="B1" t="s">
        <v>23</v>
      </c>
      <c r="C1" t="s">
        <v>43</v>
      </c>
      <c r="D1" t="s">
        <v>41</v>
      </c>
      <c r="E1" t="s">
        <v>26</v>
      </c>
      <c r="F1" t="s">
        <v>28</v>
      </c>
      <c r="G1" t="s">
        <v>27</v>
      </c>
      <c r="H1" t="s">
        <v>30</v>
      </c>
      <c r="I1" t="s">
        <v>31</v>
      </c>
      <c r="J1" t="s">
        <v>34</v>
      </c>
      <c r="K1" t="s">
        <v>33</v>
      </c>
      <c r="L1" t="s">
        <v>35</v>
      </c>
      <c r="M1" t="s">
        <v>36</v>
      </c>
      <c r="N1" t="s">
        <v>37</v>
      </c>
      <c r="O1" t="s">
        <v>38</v>
      </c>
      <c r="P1" t="s">
        <v>42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888</v>
      </c>
      <c r="C2">
        <v>72</v>
      </c>
      <c r="D2">
        <v>69</v>
      </c>
      <c r="E2">
        <v>70</v>
      </c>
      <c r="F2">
        <v>65</v>
      </c>
      <c r="G2">
        <v>20</v>
      </c>
      <c r="H2">
        <v>78</v>
      </c>
      <c r="I2">
        <v>69</v>
      </c>
      <c r="J2">
        <v>17</v>
      </c>
      <c r="K2">
        <v>59</v>
      </c>
      <c r="L2">
        <v>45</v>
      </c>
      <c r="M2">
        <v>63</v>
      </c>
      <c r="N2">
        <v>44</v>
      </c>
      <c r="O2">
        <v>53</v>
      </c>
      <c r="P2">
        <v>69</v>
      </c>
      <c r="Q2">
        <v>13</v>
      </c>
      <c r="R2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BC23-0382-4C73-BD55-9C5BF90A5872}">
  <dimension ref="A1:R5"/>
  <sheetViews>
    <sheetView workbookViewId="0">
      <selection activeCell="C24" sqref="C24"/>
    </sheetView>
  </sheetViews>
  <sheetFormatPr defaultRowHeight="15" x14ac:dyDescent="0.25"/>
  <cols>
    <col min="1" max="1" width="19.7109375" bestFit="1" customWidth="1"/>
    <col min="2" max="2" width="19.7109375" customWidth="1"/>
    <col min="3" max="3" width="11.5703125" bestFit="1" customWidth="1"/>
    <col min="4" max="4" width="6" bestFit="1" customWidth="1"/>
    <col min="11" max="11" width="12" bestFit="1" customWidth="1"/>
  </cols>
  <sheetData>
    <row r="1" spans="1:18" x14ac:dyDescent="0.25">
      <c r="A1" t="s">
        <v>0</v>
      </c>
      <c r="B1" t="s">
        <v>23</v>
      </c>
      <c r="C1" t="s">
        <v>43</v>
      </c>
      <c r="D1" t="s">
        <v>26</v>
      </c>
      <c r="E1" t="s">
        <v>32</v>
      </c>
      <c r="F1" t="s">
        <v>27</v>
      </c>
      <c r="G1" t="s">
        <v>28</v>
      </c>
      <c r="H1" t="s">
        <v>30</v>
      </c>
      <c r="I1" t="s">
        <v>31</v>
      </c>
      <c r="J1" t="s">
        <v>34</v>
      </c>
      <c r="K1" t="s">
        <v>33</v>
      </c>
      <c r="L1" t="s">
        <v>35</v>
      </c>
      <c r="M1" t="s">
        <v>36</v>
      </c>
      <c r="N1" t="s">
        <v>37</v>
      </c>
      <c r="O1" t="s">
        <v>38</v>
      </c>
      <c r="P1" t="s">
        <v>42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726</v>
      </c>
      <c r="C2">
        <v>39</v>
      </c>
      <c r="D2">
        <v>71</v>
      </c>
      <c r="E2">
        <v>22</v>
      </c>
      <c r="F2">
        <v>61</v>
      </c>
      <c r="G2">
        <v>65</v>
      </c>
      <c r="H2">
        <v>32</v>
      </c>
      <c r="I2">
        <v>69</v>
      </c>
      <c r="J2">
        <v>72</v>
      </c>
      <c r="K2">
        <v>59</v>
      </c>
      <c r="L2">
        <v>45</v>
      </c>
      <c r="M2">
        <v>26</v>
      </c>
      <c r="N2">
        <v>44</v>
      </c>
      <c r="O2">
        <v>21</v>
      </c>
      <c r="P2">
        <v>71</v>
      </c>
      <c r="Q2">
        <v>10</v>
      </c>
      <c r="R2">
        <v>19</v>
      </c>
    </row>
    <row r="3" spans="1:18" x14ac:dyDescent="0.25">
      <c r="A3" t="s">
        <v>2</v>
      </c>
      <c r="B3">
        <f t="shared" ref="B3:B5" si="0">SUM(C3:R3)</f>
        <v>650</v>
      </c>
      <c r="C3">
        <v>31</v>
      </c>
      <c r="D3">
        <v>13</v>
      </c>
      <c r="E3">
        <v>70</v>
      </c>
      <c r="F3">
        <v>17</v>
      </c>
      <c r="G3">
        <v>62</v>
      </c>
      <c r="H3">
        <v>76</v>
      </c>
      <c r="I3">
        <v>10</v>
      </c>
      <c r="J3">
        <v>71</v>
      </c>
      <c r="K3">
        <v>58</v>
      </c>
      <c r="L3">
        <v>34</v>
      </c>
      <c r="M3">
        <v>0</v>
      </c>
      <c r="N3">
        <v>11</v>
      </c>
      <c r="O3">
        <v>0</v>
      </c>
      <c r="P3">
        <v>68</v>
      </c>
      <c r="Q3">
        <v>53</v>
      </c>
      <c r="R3">
        <v>76</v>
      </c>
    </row>
    <row r="4" spans="1:18" x14ac:dyDescent="0.25">
      <c r="A4" t="s">
        <v>16</v>
      </c>
      <c r="B4">
        <f t="shared" si="0"/>
        <v>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53</v>
      </c>
      <c r="R4">
        <v>10</v>
      </c>
    </row>
    <row r="5" spans="1:18" x14ac:dyDescent="0.25">
      <c r="A5" t="s">
        <v>92</v>
      </c>
      <c r="B5">
        <f t="shared" si="0"/>
        <v>516</v>
      </c>
      <c r="C5">
        <v>20</v>
      </c>
      <c r="D5">
        <v>68</v>
      </c>
      <c r="E5">
        <v>0</v>
      </c>
      <c r="F5">
        <v>58</v>
      </c>
      <c r="G5">
        <v>43</v>
      </c>
      <c r="H5">
        <v>0</v>
      </c>
      <c r="I5">
        <v>65</v>
      </c>
      <c r="J5">
        <v>28</v>
      </c>
      <c r="K5">
        <v>32</v>
      </c>
      <c r="L5">
        <v>4</v>
      </c>
      <c r="M5">
        <v>37</v>
      </c>
      <c r="N5">
        <v>42</v>
      </c>
      <c r="O5">
        <v>51</v>
      </c>
      <c r="P5">
        <v>68</v>
      </c>
      <c r="Q5">
        <v>0</v>
      </c>
      <c r="R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08AD-7632-48CF-B894-9F6914C08CD8}">
  <dimension ref="A1:R9"/>
  <sheetViews>
    <sheetView zoomScale="70" zoomScaleNormal="70" workbookViewId="0">
      <selection activeCell="Q18" sqref="Q18"/>
    </sheetView>
  </sheetViews>
  <sheetFormatPr defaultRowHeight="15" x14ac:dyDescent="0.25"/>
  <cols>
    <col min="1" max="1" width="23" bestFit="1" customWidth="1"/>
    <col min="5" max="5" width="11" bestFit="1" customWidth="1"/>
    <col min="10" max="10" width="12" bestFit="1" customWidth="1"/>
    <col min="15" max="15" width="9.28515625" bestFit="1" customWidth="1"/>
  </cols>
  <sheetData>
    <row r="1" spans="1:18" x14ac:dyDescent="0.25">
      <c r="A1" t="s">
        <v>0</v>
      </c>
      <c r="B1" t="s">
        <v>23</v>
      </c>
      <c r="C1" t="s">
        <v>26</v>
      </c>
      <c r="D1" t="s">
        <v>50</v>
      </c>
      <c r="E1" t="s">
        <v>27</v>
      </c>
      <c r="F1" t="s">
        <v>30</v>
      </c>
      <c r="G1" t="s">
        <v>28</v>
      </c>
      <c r="H1" t="s">
        <v>31</v>
      </c>
      <c r="I1" t="s">
        <v>34</v>
      </c>
      <c r="J1" t="s">
        <v>33</v>
      </c>
      <c r="K1" t="s">
        <v>35</v>
      </c>
      <c r="L1" t="s">
        <v>36</v>
      </c>
      <c r="M1" t="s">
        <v>37</v>
      </c>
      <c r="N1" t="s">
        <v>38</v>
      </c>
      <c r="O1" t="s">
        <v>42</v>
      </c>
      <c r="P1" t="s">
        <v>32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747</v>
      </c>
      <c r="C2">
        <v>71</v>
      </c>
      <c r="D2">
        <v>83</v>
      </c>
      <c r="E2">
        <v>58</v>
      </c>
      <c r="F2">
        <v>78</v>
      </c>
      <c r="G2">
        <v>65</v>
      </c>
      <c r="H2">
        <v>69</v>
      </c>
      <c r="I2">
        <v>72</v>
      </c>
      <c r="J2">
        <v>0</v>
      </c>
      <c r="K2">
        <v>20</v>
      </c>
      <c r="L2">
        <v>77</v>
      </c>
      <c r="M2">
        <v>0</v>
      </c>
      <c r="N2">
        <v>0</v>
      </c>
      <c r="O2">
        <v>0</v>
      </c>
      <c r="P2">
        <v>69</v>
      </c>
      <c r="Q2">
        <v>50</v>
      </c>
      <c r="R2">
        <v>35</v>
      </c>
    </row>
    <row r="3" spans="1:18" x14ac:dyDescent="0.25">
      <c r="A3" t="s">
        <v>2</v>
      </c>
      <c r="B3">
        <f t="shared" ref="B3:B9" si="0">SUM(C3:R3)</f>
        <v>695</v>
      </c>
      <c r="C3">
        <v>70</v>
      </c>
      <c r="D3">
        <v>82</v>
      </c>
      <c r="E3">
        <v>0</v>
      </c>
      <c r="F3">
        <v>27</v>
      </c>
      <c r="G3">
        <v>39</v>
      </c>
      <c r="H3">
        <v>68</v>
      </c>
      <c r="I3">
        <v>41</v>
      </c>
      <c r="J3">
        <v>60</v>
      </c>
      <c r="K3">
        <v>0</v>
      </c>
      <c r="L3">
        <v>0</v>
      </c>
      <c r="M3">
        <v>19</v>
      </c>
      <c r="N3">
        <v>53</v>
      </c>
      <c r="O3">
        <v>71</v>
      </c>
      <c r="P3">
        <v>68</v>
      </c>
      <c r="Q3">
        <v>16</v>
      </c>
      <c r="R3">
        <v>81</v>
      </c>
    </row>
    <row r="4" spans="1:18" x14ac:dyDescent="0.25">
      <c r="A4" t="s">
        <v>4</v>
      </c>
      <c r="B4">
        <f t="shared" si="0"/>
        <v>402</v>
      </c>
      <c r="C4">
        <v>0</v>
      </c>
      <c r="D4">
        <v>0</v>
      </c>
      <c r="E4">
        <v>0</v>
      </c>
      <c r="F4">
        <v>0</v>
      </c>
      <c r="G4">
        <v>32</v>
      </c>
      <c r="H4">
        <v>68</v>
      </c>
      <c r="I4">
        <v>0</v>
      </c>
      <c r="J4">
        <v>59</v>
      </c>
      <c r="K4">
        <v>17</v>
      </c>
      <c r="L4">
        <v>59</v>
      </c>
      <c r="M4">
        <v>44</v>
      </c>
      <c r="N4">
        <v>52</v>
      </c>
      <c r="O4">
        <v>71</v>
      </c>
      <c r="P4">
        <v>0</v>
      </c>
      <c r="Q4">
        <v>0</v>
      </c>
      <c r="R4">
        <v>0</v>
      </c>
    </row>
    <row r="5" spans="1:18" x14ac:dyDescent="0.25">
      <c r="A5" t="s">
        <v>10</v>
      </c>
      <c r="B5">
        <f t="shared" si="0"/>
        <v>906</v>
      </c>
      <c r="C5">
        <v>68</v>
      </c>
      <c r="D5">
        <v>78</v>
      </c>
      <c r="E5">
        <v>56</v>
      </c>
      <c r="F5">
        <v>76</v>
      </c>
      <c r="G5">
        <v>63</v>
      </c>
      <c r="H5">
        <v>67</v>
      </c>
      <c r="I5">
        <v>28</v>
      </c>
      <c r="J5">
        <v>58</v>
      </c>
      <c r="K5">
        <v>45</v>
      </c>
      <c r="L5">
        <v>76</v>
      </c>
      <c r="M5">
        <v>43</v>
      </c>
      <c r="N5">
        <v>51</v>
      </c>
      <c r="O5">
        <v>0</v>
      </c>
      <c r="P5">
        <v>68</v>
      </c>
      <c r="Q5">
        <v>49</v>
      </c>
      <c r="R5">
        <v>80</v>
      </c>
    </row>
    <row r="6" spans="1:18" x14ac:dyDescent="0.25">
      <c r="A6" t="s">
        <v>16</v>
      </c>
      <c r="B6">
        <f t="shared" si="0"/>
        <v>447</v>
      </c>
      <c r="C6">
        <v>34</v>
      </c>
      <c r="D6">
        <v>0</v>
      </c>
      <c r="E6">
        <v>0</v>
      </c>
      <c r="F6">
        <v>0</v>
      </c>
      <c r="G6">
        <v>64</v>
      </c>
      <c r="H6">
        <v>40</v>
      </c>
      <c r="I6">
        <v>24</v>
      </c>
      <c r="J6">
        <v>0</v>
      </c>
      <c r="K6">
        <v>0</v>
      </c>
      <c r="L6">
        <v>0</v>
      </c>
      <c r="M6">
        <v>40</v>
      </c>
      <c r="N6">
        <v>41</v>
      </c>
      <c r="O6">
        <v>70</v>
      </c>
      <c r="P6">
        <v>69</v>
      </c>
      <c r="Q6">
        <v>50</v>
      </c>
      <c r="R6">
        <v>15</v>
      </c>
    </row>
    <row r="7" spans="1:18" x14ac:dyDescent="0.25">
      <c r="A7" t="s">
        <v>55</v>
      </c>
      <c r="B7">
        <f t="shared" si="0"/>
        <v>610</v>
      </c>
      <c r="C7">
        <v>15</v>
      </c>
      <c r="D7">
        <v>82</v>
      </c>
      <c r="E7">
        <v>57</v>
      </c>
      <c r="F7">
        <v>0</v>
      </c>
      <c r="G7">
        <v>21</v>
      </c>
      <c r="H7">
        <v>5</v>
      </c>
      <c r="I7">
        <v>71</v>
      </c>
      <c r="J7">
        <v>59</v>
      </c>
      <c r="K7">
        <v>0</v>
      </c>
      <c r="L7">
        <v>39</v>
      </c>
      <c r="M7">
        <v>10</v>
      </c>
      <c r="N7">
        <v>22</v>
      </c>
      <c r="O7">
        <v>31</v>
      </c>
      <c r="P7">
        <v>68</v>
      </c>
      <c r="Q7">
        <v>50</v>
      </c>
      <c r="R7">
        <v>80</v>
      </c>
    </row>
    <row r="8" spans="1:18" x14ac:dyDescent="0.25">
      <c r="A8" t="s">
        <v>21</v>
      </c>
      <c r="B8">
        <f t="shared" si="0"/>
        <v>98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49</v>
      </c>
      <c r="R8">
        <v>49</v>
      </c>
    </row>
    <row r="9" spans="1:18" x14ac:dyDescent="0.25">
      <c r="A9" t="s">
        <v>47</v>
      </c>
      <c r="B9">
        <f t="shared" si="0"/>
        <v>394</v>
      </c>
      <c r="C9">
        <v>34</v>
      </c>
      <c r="D9">
        <v>54</v>
      </c>
      <c r="E9">
        <v>0</v>
      </c>
      <c r="F9">
        <v>0</v>
      </c>
      <c r="G9">
        <v>0</v>
      </c>
      <c r="H9">
        <v>0</v>
      </c>
      <c r="I9">
        <v>25</v>
      </c>
      <c r="J9">
        <v>59</v>
      </c>
      <c r="K9">
        <v>15</v>
      </c>
      <c r="L9">
        <v>77</v>
      </c>
      <c r="M9">
        <v>44</v>
      </c>
      <c r="N9">
        <v>0</v>
      </c>
      <c r="O9">
        <v>71</v>
      </c>
      <c r="P9">
        <v>15</v>
      </c>
      <c r="Q9">
        <v>0</v>
      </c>
      <c r="R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8A00-6C37-4B7D-B869-26E922968418}">
  <dimension ref="A1:S10"/>
  <sheetViews>
    <sheetView zoomScale="70" zoomScaleNormal="70" workbookViewId="0">
      <selection activeCell="C38" sqref="C38"/>
    </sheetView>
  </sheetViews>
  <sheetFormatPr defaultRowHeight="15" x14ac:dyDescent="0.25"/>
  <cols>
    <col min="1" max="1" width="20.7109375" bestFit="1" customWidth="1"/>
    <col min="4" max="4" width="10.5703125" bestFit="1" customWidth="1"/>
  </cols>
  <sheetData>
    <row r="1" spans="1:19" x14ac:dyDescent="0.25">
      <c r="A1" t="s">
        <v>0</v>
      </c>
      <c r="B1" t="s">
        <v>23</v>
      </c>
      <c r="C1" t="s">
        <v>26</v>
      </c>
      <c r="D1" t="s">
        <v>51</v>
      </c>
      <c r="E1" t="s">
        <v>27</v>
      </c>
      <c r="F1" t="s">
        <v>28</v>
      </c>
      <c r="G1" t="s">
        <v>30</v>
      </c>
      <c r="H1" t="s">
        <v>31</v>
      </c>
      <c r="I1" t="s">
        <v>34</v>
      </c>
      <c r="J1" t="s">
        <v>33</v>
      </c>
      <c r="K1" t="s">
        <v>35</v>
      </c>
      <c r="L1" t="s">
        <v>36</v>
      </c>
      <c r="M1" t="s">
        <v>37</v>
      </c>
      <c r="N1" t="s">
        <v>38</v>
      </c>
      <c r="O1" t="s">
        <v>42</v>
      </c>
      <c r="P1" t="s">
        <v>32</v>
      </c>
      <c r="Q1" t="s">
        <v>50</v>
      </c>
      <c r="R1" t="s">
        <v>40</v>
      </c>
      <c r="S1" t="s">
        <v>24</v>
      </c>
    </row>
    <row r="2" spans="1:19" x14ac:dyDescent="0.25">
      <c r="A2" t="s">
        <v>1</v>
      </c>
      <c r="B2">
        <f>SUM(C2:S2)</f>
        <v>965</v>
      </c>
      <c r="C2">
        <v>71</v>
      </c>
      <c r="D2">
        <v>71</v>
      </c>
      <c r="E2">
        <v>10</v>
      </c>
      <c r="F2">
        <v>65</v>
      </c>
      <c r="G2">
        <v>78</v>
      </c>
      <c r="H2">
        <v>69</v>
      </c>
      <c r="I2">
        <v>72</v>
      </c>
      <c r="J2">
        <v>45</v>
      </c>
      <c r="K2">
        <v>45</v>
      </c>
      <c r="L2">
        <v>73</v>
      </c>
      <c r="M2">
        <v>44</v>
      </c>
      <c r="N2">
        <v>23</v>
      </c>
      <c r="O2">
        <v>71</v>
      </c>
      <c r="P2">
        <v>67</v>
      </c>
      <c r="Q2">
        <v>83</v>
      </c>
      <c r="R2">
        <v>53</v>
      </c>
      <c r="S2">
        <v>25</v>
      </c>
    </row>
    <row r="3" spans="1:19" x14ac:dyDescent="0.25">
      <c r="A3" t="s">
        <v>2</v>
      </c>
      <c r="B3">
        <f t="shared" ref="B3:B10" si="0">SUM(C3:S3)</f>
        <v>824</v>
      </c>
      <c r="C3">
        <v>16</v>
      </c>
      <c r="D3">
        <v>33</v>
      </c>
      <c r="E3">
        <v>31</v>
      </c>
      <c r="F3">
        <v>64</v>
      </c>
      <c r="G3">
        <v>60</v>
      </c>
      <c r="H3">
        <v>69</v>
      </c>
      <c r="I3">
        <v>71</v>
      </c>
      <c r="J3">
        <v>59</v>
      </c>
      <c r="K3">
        <v>20</v>
      </c>
      <c r="L3">
        <v>76</v>
      </c>
      <c r="M3">
        <v>44</v>
      </c>
      <c r="N3">
        <v>43</v>
      </c>
      <c r="O3">
        <v>70</v>
      </c>
      <c r="P3">
        <v>66</v>
      </c>
      <c r="Q3">
        <v>67</v>
      </c>
      <c r="R3">
        <v>15</v>
      </c>
      <c r="S3">
        <v>20</v>
      </c>
    </row>
    <row r="4" spans="1:19" x14ac:dyDescent="0.25">
      <c r="A4" t="s">
        <v>4</v>
      </c>
      <c r="B4">
        <f t="shared" si="0"/>
        <v>781</v>
      </c>
      <c r="C4">
        <v>71</v>
      </c>
      <c r="D4">
        <v>16</v>
      </c>
      <c r="E4">
        <v>63</v>
      </c>
      <c r="F4">
        <v>54</v>
      </c>
      <c r="G4">
        <v>16</v>
      </c>
      <c r="H4">
        <v>1</v>
      </c>
      <c r="I4">
        <v>72</v>
      </c>
      <c r="J4">
        <v>61</v>
      </c>
      <c r="K4">
        <v>45</v>
      </c>
      <c r="L4">
        <v>77</v>
      </c>
      <c r="M4">
        <v>13</v>
      </c>
      <c r="N4">
        <v>13</v>
      </c>
      <c r="O4">
        <v>71</v>
      </c>
      <c r="P4">
        <v>67</v>
      </c>
      <c r="Q4">
        <v>83</v>
      </c>
      <c r="R4">
        <v>39</v>
      </c>
      <c r="S4">
        <v>19</v>
      </c>
    </row>
    <row r="5" spans="1:19" x14ac:dyDescent="0.25">
      <c r="A5" t="s">
        <v>10</v>
      </c>
      <c r="B5">
        <f t="shared" si="0"/>
        <v>849</v>
      </c>
      <c r="C5">
        <v>0</v>
      </c>
      <c r="D5">
        <v>69</v>
      </c>
      <c r="E5">
        <v>61</v>
      </c>
      <c r="F5">
        <v>64</v>
      </c>
      <c r="G5">
        <v>65</v>
      </c>
      <c r="H5">
        <v>69</v>
      </c>
      <c r="I5">
        <v>71</v>
      </c>
      <c r="J5">
        <v>61</v>
      </c>
      <c r="K5">
        <v>13</v>
      </c>
      <c r="L5">
        <v>76</v>
      </c>
      <c r="M5">
        <v>44</v>
      </c>
      <c r="N5">
        <v>20</v>
      </c>
      <c r="O5">
        <v>10</v>
      </c>
      <c r="P5">
        <v>14</v>
      </c>
      <c r="Q5">
        <v>81</v>
      </c>
      <c r="R5">
        <v>52</v>
      </c>
      <c r="S5">
        <v>79</v>
      </c>
    </row>
    <row r="6" spans="1:19" x14ac:dyDescent="0.25">
      <c r="A6" t="s">
        <v>16</v>
      </c>
      <c r="B6">
        <f t="shared" si="0"/>
        <v>814</v>
      </c>
      <c r="C6">
        <v>15</v>
      </c>
      <c r="D6">
        <v>6</v>
      </c>
      <c r="E6">
        <v>61</v>
      </c>
      <c r="F6">
        <v>64</v>
      </c>
      <c r="G6">
        <v>22</v>
      </c>
      <c r="H6">
        <v>69</v>
      </c>
      <c r="I6">
        <v>71</v>
      </c>
      <c r="J6">
        <v>2</v>
      </c>
      <c r="K6">
        <v>41</v>
      </c>
      <c r="L6">
        <v>70</v>
      </c>
      <c r="M6">
        <v>21</v>
      </c>
      <c r="N6">
        <v>40</v>
      </c>
      <c r="O6">
        <v>70</v>
      </c>
      <c r="P6">
        <v>66</v>
      </c>
      <c r="Q6">
        <v>81</v>
      </c>
      <c r="R6">
        <v>53</v>
      </c>
      <c r="S6">
        <v>62</v>
      </c>
    </row>
    <row r="7" spans="1:19" x14ac:dyDescent="0.25">
      <c r="A7" t="s">
        <v>55</v>
      </c>
      <c r="B7">
        <f t="shared" si="0"/>
        <v>903</v>
      </c>
      <c r="C7">
        <v>10</v>
      </c>
      <c r="D7">
        <v>69</v>
      </c>
      <c r="E7">
        <v>62</v>
      </c>
      <c r="F7">
        <v>64</v>
      </c>
      <c r="G7">
        <v>76</v>
      </c>
      <c r="H7">
        <v>26</v>
      </c>
      <c r="I7">
        <v>71</v>
      </c>
      <c r="J7">
        <v>60</v>
      </c>
      <c r="K7">
        <v>32</v>
      </c>
      <c r="L7">
        <v>76</v>
      </c>
      <c r="M7">
        <v>44</v>
      </c>
      <c r="N7">
        <v>53</v>
      </c>
      <c r="O7">
        <v>70</v>
      </c>
      <c r="P7">
        <v>17</v>
      </c>
      <c r="Q7">
        <v>82</v>
      </c>
      <c r="R7">
        <v>52</v>
      </c>
      <c r="S7">
        <v>39</v>
      </c>
    </row>
    <row r="8" spans="1:19" x14ac:dyDescent="0.25">
      <c r="A8" t="s">
        <v>21</v>
      </c>
      <c r="B8">
        <f t="shared" si="0"/>
        <v>957</v>
      </c>
      <c r="C8">
        <v>69</v>
      </c>
      <c r="D8">
        <v>48</v>
      </c>
      <c r="E8">
        <v>19</v>
      </c>
      <c r="F8">
        <v>64</v>
      </c>
      <c r="G8">
        <v>63</v>
      </c>
      <c r="H8">
        <v>68</v>
      </c>
      <c r="I8">
        <v>69</v>
      </c>
      <c r="J8">
        <v>60</v>
      </c>
      <c r="K8">
        <v>0</v>
      </c>
      <c r="L8">
        <v>58</v>
      </c>
      <c r="M8">
        <v>44</v>
      </c>
      <c r="N8">
        <v>52</v>
      </c>
      <c r="O8">
        <v>69</v>
      </c>
      <c r="P8">
        <v>64</v>
      </c>
      <c r="Q8">
        <v>80</v>
      </c>
      <c r="R8">
        <v>52</v>
      </c>
      <c r="S8">
        <v>78</v>
      </c>
    </row>
    <row r="9" spans="1:19" x14ac:dyDescent="0.25">
      <c r="A9" t="s">
        <v>47</v>
      </c>
      <c r="B9">
        <f t="shared" si="0"/>
        <v>116</v>
      </c>
      <c r="C9">
        <v>16</v>
      </c>
      <c r="D9">
        <v>23</v>
      </c>
      <c r="E9">
        <v>14</v>
      </c>
      <c r="F9">
        <v>63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151</v>
      </c>
      <c r="B10">
        <f t="shared" si="0"/>
        <v>807</v>
      </c>
      <c r="C10">
        <v>47</v>
      </c>
      <c r="D10">
        <v>0</v>
      </c>
      <c r="E10">
        <v>59</v>
      </c>
      <c r="F10">
        <v>21</v>
      </c>
      <c r="G10">
        <v>68</v>
      </c>
      <c r="H10">
        <v>68</v>
      </c>
      <c r="I10">
        <v>69</v>
      </c>
      <c r="J10">
        <v>60</v>
      </c>
      <c r="K10">
        <v>28</v>
      </c>
      <c r="L10">
        <v>75</v>
      </c>
      <c r="M10">
        <v>23</v>
      </c>
      <c r="N10">
        <v>26</v>
      </c>
      <c r="O10">
        <v>68</v>
      </c>
      <c r="P10">
        <v>64</v>
      </c>
      <c r="Q10">
        <v>80</v>
      </c>
      <c r="R10">
        <v>51</v>
      </c>
      <c r="S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5A22-72AA-4B8B-8276-187361E5AFF5}">
  <dimension ref="A1:R12"/>
  <sheetViews>
    <sheetView zoomScale="85" zoomScaleNormal="85" workbookViewId="0">
      <selection activeCell="J20" sqref="J20"/>
    </sheetView>
  </sheetViews>
  <sheetFormatPr defaultRowHeight="15" x14ac:dyDescent="0.25"/>
  <cols>
    <col min="1" max="1" width="20.7109375" bestFit="1" customWidth="1"/>
  </cols>
  <sheetData>
    <row r="1" spans="1:18" x14ac:dyDescent="0.25">
      <c r="A1" t="s">
        <v>0</v>
      </c>
      <c r="B1" t="s">
        <v>23</v>
      </c>
      <c r="C1" t="s">
        <v>24</v>
      </c>
      <c r="D1" t="s">
        <v>26</v>
      </c>
      <c r="E1" t="s">
        <v>51</v>
      </c>
      <c r="F1" t="s">
        <v>32</v>
      </c>
      <c r="G1" t="s">
        <v>27</v>
      </c>
      <c r="H1" t="s">
        <v>30</v>
      </c>
      <c r="I1" t="s">
        <v>28</v>
      </c>
      <c r="J1" t="s">
        <v>31</v>
      </c>
      <c r="K1" t="s">
        <v>34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42</v>
      </c>
      <c r="R1" t="s">
        <v>40</v>
      </c>
    </row>
    <row r="2" spans="1:18" x14ac:dyDescent="0.25">
      <c r="A2" t="s">
        <v>1</v>
      </c>
      <c r="B2">
        <f>SUM(C2:R2)</f>
        <v>721</v>
      </c>
      <c r="C2">
        <v>32</v>
      </c>
      <c r="D2">
        <v>70</v>
      </c>
      <c r="E2">
        <v>46</v>
      </c>
      <c r="F2">
        <v>67</v>
      </c>
      <c r="G2">
        <v>63</v>
      </c>
      <c r="H2">
        <v>0</v>
      </c>
      <c r="I2">
        <v>65</v>
      </c>
      <c r="J2">
        <v>41</v>
      </c>
      <c r="K2">
        <v>0</v>
      </c>
      <c r="L2">
        <v>3</v>
      </c>
      <c r="M2">
        <v>45</v>
      </c>
      <c r="N2">
        <v>70</v>
      </c>
      <c r="O2">
        <v>44</v>
      </c>
      <c r="P2">
        <v>53</v>
      </c>
      <c r="Q2">
        <v>70</v>
      </c>
      <c r="R2">
        <v>52</v>
      </c>
    </row>
    <row r="3" spans="1:18" x14ac:dyDescent="0.25">
      <c r="A3" t="s">
        <v>2</v>
      </c>
      <c r="B3">
        <f t="shared" ref="B3:B12" si="0">SUM(C3:R3)</f>
        <v>784</v>
      </c>
      <c r="C3">
        <v>29</v>
      </c>
      <c r="D3">
        <v>59</v>
      </c>
      <c r="E3">
        <v>72</v>
      </c>
      <c r="F3">
        <v>67</v>
      </c>
      <c r="G3">
        <v>63</v>
      </c>
      <c r="H3">
        <v>0</v>
      </c>
      <c r="I3">
        <v>45</v>
      </c>
      <c r="J3">
        <v>22</v>
      </c>
      <c r="K3">
        <v>71</v>
      </c>
      <c r="L3">
        <v>61</v>
      </c>
      <c r="M3">
        <v>45</v>
      </c>
      <c r="N3">
        <v>75</v>
      </c>
      <c r="O3">
        <v>29</v>
      </c>
      <c r="P3">
        <v>53</v>
      </c>
      <c r="Q3">
        <v>41</v>
      </c>
      <c r="R3">
        <v>52</v>
      </c>
    </row>
    <row r="4" spans="1:18" x14ac:dyDescent="0.25">
      <c r="A4" t="s">
        <v>4</v>
      </c>
      <c r="B4">
        <f t="shared" si="0"/>
        <v>738</v>
      </c>
      <c r="C4">
        <v>24</v>
      </c>
      <c r="D4">
        <v>29</v>
      </c>
      <c r="E4">
        <v>72</v>
      </c>
      <c r="F4">
        <v>67</v>
      </c>
      <c r="G4">
        <v>44</v>
      </c>
      <c r="H4">
        <v>75</v>
      </c>
      <c r="I4">
        <v>0</v>
      </c>
      <c r="J4">
        <v>69</v>
      </c>
      <c r="K4">
        <v>71</v>
      </c>
      <c r="L4">
        <v>61</v>
      </c>
      <c r="M4">
        <v>45</v>
      </c>
      <c r="N4">
        <v>23</v>
      </c>
      <c r="O4">
        <v>37</v>
      </c>
      <c r="P4">
        <v>1</v>
      </c>
      <c r="Q4">
        <v>68</v>
      </c>
      <c r="R4">
        <v>52</v>
      </c>
    </row>
    <row r="5" spans="1:18" x14ac:dyDescent="0.25">
      <c r="A5" t="s">
        <v>9</v>
      </c>
      <c r="B5">
        <f t="shared" si="0"/>
        <v>937</v>
      </c>
      <c r="C5">
        <v>58</v>
      </c>
      <c r="D5">
        <v>26</v>
      </c>
      <c r="E5">
        <v>72</v>
      </c>
      <c r="F5">
        <v>67</v>
      </c>
      <c r="G5">
        <v>57</v>
      </c>
      <c r="H5">
        <v>66</v>
      </c>
      <c r="I5">
        <v>65</v>
      </c>
      <c r="J5">
        <v>69</v>
      </c>
      <c r="K5">
        <v>72</v>
      </c>
      <c r="L5">
        <v>61</v>
      </c>
      <c r="M5">
        <v>45</v>
      </c>
      <c r="N5">
        <v>77</v>
      </c>
      <c r="O5">
        <v>44</v>
      </c>
      <c r="P5">
        <v>52</v>
      </c>
      <c r="Q5">
        <v>70</v>
      </c>
      <c r="R5">
        <v>36</v>
      </c>
    </row>
    <row r="6" spans="1:18" x14ac:dyDescent="0.25">
      <c r="A6" t="s">
        <v>10</v>
      </c>
      <c r="B6">
        <f t="shared" si="0"/>
        <v>729</v>
      </c>
      <c r="C6">
        <v>57</v>
      </c>
      <c r="D6">
        <v>70</v>
      </c>
      <c r="E6">
        <v>72</v>
      </c>
      <c r="F6">
        <v>6</v>
      </c>
      <c r="G6">
        <v>54</v>
      </c>
      <c r="H6">
        <v>75</v>
      </c>
      <c r="I6">
        <v>1</v>
      </c>
      <c r="J6">
        <v>39</v>
      </c>
      <c r="K6">
        <v>71</v>
      </c>
      <c r="L6">
        <v>40</v>
      </c>
      <c r="M6">
        <v>45</v>
      </c>
      <c r="N6">
        <v>76</v>
      </c>
      <c r="O6">
        <v>0</v>
      </c>
      <c r="P6">
        <v>2</v>
      </c>
      <c r="Q6">
        <v>69</v>
      </c>
      <c r="R6">
        <v>52</v>
      </c>
    </row>
    <row r="7" spans="1:18" x14ac:dyDescent="0.25">
      <c r="A7" t="s">
        <v>14</v>
      </c>
      <c r="B7">
        <f t="shared" si="0"/>
        <v>256</v>
      </c>
      <c r="C7">
        <v>32</v>
      </c>
      <c r="D7">
        <v>0</v>
      </c>
      <c r="E7">
        <v>0</v>
      </c>
      <c r="F7">
        <v>65</v>
      </c>
      <c r="G7">
        <v>30</v>
      </c>
      <c r="H7">
        <v>0</v>
      </c>
      <c r="I7">
        <v>1</v>
      </c>
      <c r="J7">
        <v>67</v>
      </c>
      <c r="K7">
        <v>2</v>
      </c>
      <c r="L7">
        <v>59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 t="s">
        <v>16</v>
      </c>
      <c r="B8">
        <f t="shared" si="0"/>
        <v>575</v>
      </c>
      <c r="C8">
        <v>58</v>
      </c>
      <c r="D8">
        <v>70</v>
      </c>
      <c r="E8">
        <v>72</v>
      </c>
      <c r="F8">
        <v>6</v>
      </c>
      <c r="G8">
        <v>63</v>
      </c>
      <c r="H8">
        <v>68</v>
      </c>
      <c r="I8">
        <v>1</v>
      </c>
      <c r="J8">
        <v>1</v>
      </c>
      <c r="K8">
        <v>5</v>
      </c>
      <c r="L8">
        <v>5</v>
      </c>
      <c r="M8">
        <v>34</v>
      </c>
      <c r="N8">
        <v>31</v>
      </c>
      <c r="O8">
        <v>29</v>
      </c>
      <c r="P8">
        <v>23</v>
      </c>
      <c r="Q8">
        <v>70</v>
      </c>
      <c r="R8">
        <v>39</v>
      </c>
    </row>
    <row r="9" spans="1:18" x14ac:dyDescent="0.25">
      <c r="A9" t="s">
        <v>55</v>
      </c>
      <c r="B9">
        <f t="shared" si="0"/>
        <v>711</v>
      </c>
      <c r="C9">
        <v>57</v>
      </c>
      <c r="D9">
        <v>36</v>
      </c>
      <c r="E9">
        <v>32</v>
      </c>
      <c r="F9">
        <v>59</v>
      </c>
      <c r="G9">
        <v>32</v>
      </c>
      <c r="H9">
        <v>74</v>
      </c>
      <c r="I9">
        <v>64</v>
      </c>
      <c r="J9">
        <v>19</v>
      </c>
      <c r="K9">
        <v>56</v>
      </c>
      <c r="L9">
        <v>60</v>
      </c>
      <c r="M9">
        <v>44</v>
      </c>
      <c r="N9">
        <v>50</v>
      </c>
      <c r="O9">
        <v>0</v>
      </c>
      <c r="P9">
        <v>7</v>
      </c>
      <c r="Q9">
        <v>69</v>
      </c>
      <c r="R9">
        <v>52</v>
      </c>
    </row>
    <row r="10" spans="1:18" x14ac:dyDescent="0.25">
      <c r="A10" t="s">
        <v>21</v>
      </c>
      <c r="B10">
        <f t="shared" si="0"/>
        <v>627</v>
      </c>
      <c r="C10">
        <v>57</v>
      </c>
      <c r="D10">
        <v>70</v>
      </c>
      <c r="E10">
        <v>36</v>
      </c>
      <c r="F10">
        <v>0</v>
      </c>
      <c r="G10">
        <v>23</v>
      </c>
      <c r="H10">
        <v>70</v>
      </c>
      <c r="I10">
        <v>16</v>
      </c>
      <c r="J10">
        <v>39</v>
      </c>
      <c r="K10">
        <v>70</v>
      </c>
      <c r="L10">
        <v>60</v>
      </c>
      <c r="M10">
        <v>44</v>
      </c>
      <c r="N10">
        <v>0</v>
      </c>
      <c r="O10">
        <v>44</v>
      </c>
      <c r="P10">
        <v>9</v>
      </c>
      <c r="Q10">
        <v>69</v>
      </c>
      <c r="R10">
        <v>20</v>
      </c>
    </row>
    <row r="11" spans="1:18" x14ac:dyDescent="0.25">
      <c r="A11" t="s">
        <v>47</v>
      </c>
      <c r="B11">
        <f t="shared" si="0"/>
        <v>480</v>
      </c>
      <c r="C11">
        <v>15</v>
      </c>
      <c r="D11">
        <v>19</v>
      </c>
      <c r="E11">
        <v>72</v>
      </c>
      <c r="F11">
        <v>38</v>
      </c>
      <c r="G11">
        <v>38</v>
      </c>
      <c r="H11">
        <v>0</v>
      </c>
      <c r="I11">
        <v>47</v>
      </c>
      <c r="J11">
        <v>10</v>
      </c>
      <c r="K11">
        <v>10</v>
      </c>
      <c r="L11">
        <v>60</v>
      </c>
      <c r="M11">
        <v>0</v>
      </c>
      <c r="N11">
        <v>10</v>
      </c>
      <c r="O11">
        <v>11</v>
      </c>
      <c r="P11">
        <v>52</v>
      </c>
      <c r="Q11">
        <v>47</v>
      </c>
      <c r="R11">
        <v>51</v>
      </c>
    </row>
    <row r="12" spans="1:18" x14ac:dyDescent="0.25">
      <c r="A12" t="s">
        <v>92</v>
      </c>
      <c r="B12">
        <f t="shared" si="0"/>
        <v>283</v>
      </c>
      <c r="C12">
        <v>0</v>
      </c>
      <c r="D12">
        <v>67</v>
      </c>
      <c r="E12">
        <v>24</v>
      </c>
      <c r="F12">
        <v>0</v>
      </c>
      <c r="G12">
        <v>59</v>
      </c>
      <c r="H12">
        <v>60</v>
      </c>
      <c r="I12">
        <v>0</v>
      </c>
      <c r="J12">
        <v>44</v>
      </c>
      <c r="K12">
        <v>29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14D4-403F-4B81-B472-8E3F05ADF641}">
  <dimension ref="A1:S14"/>
  <sheetViews>
    <sheetView zoomScaleNormal="100" workbookViewId="0">
      <selection activeCell="K29" sqref="K29"/>
    </sheetView>
  </sheetViews>
  <sheetFormatPr defaultRowHeight="15" x14ac:dyDescent="0.25"/>
  <cols>
    <col min="1" max="1" width="20.7109375" bestFit="1" customWidth="1"/>
  </cols>
  <sheetData>
    <row r="1" spans="1:19" x14ac:dyDescent="0.25">
      <c r="A1" t="s">
        <v>0</v>
      </c>
      <c r="B1" t="s">
        <v>23</v>
      </c>
      <c r="C1" t="s">
        <v>24</v>
      </c>
      <c r="D1" t="s">
        <v>26</v>
      </c>
      <c r="E1" t="s">
        <v>51</v>
      </c>
      <c r="F1" t="s">
        <v>27</v>
      </c>
      <c r="G1" t="s">
        <v>30</v>
      </c>
      <c r="H1" t="s">
        <v>28</v>
      </c>
      <c r="I1" t="s">
        <v>31</v>
      </c>
      <c r="J1" t="s">
        <v>34</v>
      </c>
      <c r="K1" t="s">
        <v>33</v>
      </c>
      <c r="L1" t="s">
        <v>35</v>
      </c>
      <c r="M1" t="s">
        <v>36</v>
      </c>
      <c r="N1" t="s">
        <v>37</v>
      </c>
      <c r="O1" t="s">
        <v>38</v>
      </c>
      <c r="P1" t="s">
        <v>29</v>
      </c>
      <c r="Q1" t="s">
        <v>152</v>
      </c>
      <c r="R1" t="s">
        <v>40</v>
      </c>
      <c r="S1" t="s">
        <v>32</v>
      </c>
    </row>
    <row r="2" spans="1:19" x14ac:dyDescent="0.25">
      <c r="A2" t="s">
        <v>1</v>
      </c>
      <c r="B2">
        <f t="shared" ref="B2:B14" si="0">SUM(C2:S2)</f>
        <v>874</v>
      </c>
      <c r="C2">
        <v>58</v>
      </c>
      <c r="D2">
        <v>72</v>
      </c>
      <c r="E2">
        <v>0</v>
      </c>
      <c r="F2">
        <v>62</v>
      </c>
      <c r="G2">
        <v>62</v>
      </c>
      <c r="H2">
        <v>64</v>
      </c>
      <c r="I2">
        <v>54</v>
      </c>
      <c r="J2">
        <v>72</v>
      </c>
      <c r="K2">
        <v>38</v>
      </c>
      <c r="L2">
        <v>45</v>
      </c>
      <c r="M2">
        <v>77</v>
      </c>
      <c r="N2">
        <v>44</v>
      </c>
      <c r="O2">
        <v>53</v>
      </c>
      <c r="P2">
        <v>71</v>
      </c>
      <c r="Q2">
        <v>2</v>
      </c>
      <c r="R2">
        <v>53</v>
      </c>
      <c r="S2">
        <v>47</v>
      </c>
    </row>
    <row r="3" spans="1:19" x14ac:dyDescent="0.25">
      <c r="A3" t="s">
        <v>2</v>
      </c>
      <c r="B3">
        <f t="shared" si="0"/>
        <v>591</v>
      </c>
      <c r="C3">
        <v>49</v>
      </c>
      <c r="D3">
        <v>16</v>
      </c>
      <c r="E3">
        <v>24</v>
      </c>
      <c r="F3">
        <v>32</v>
      </c>
      <c r="G3">
        <v>62</v>
      </c>
      <c r="H3">
        <v>37</v>
      </c>
      <c r="I3">
        <v>33</v>
      </c>
      <c r="J3">
        <v>36</v>
      </c>
      <c r="K3">
        <v>37</v>
      </c>
      <c r="L3">
        <v>33</v>
      </c>
      <c r="M3">
        <v>29</v>
      </c>
      <c r="N3">
        <v>8</v>
      </c>
      <c r="O3">
        <v>52</v>
      </c>
      <c r="P3">
        <v>64</v>
      </c>
      <c r="Q3">
        <v>43</v>
      </c>
      <c r="R3">
        <v>6</v>
      </c>
      <c r="S3">
        <v>30</v>
      </c>
    </row>
    <row r="4" spans="1:19" x14ac:dyDescent="0.25">
      <c r="A4" t="s">
        <v>4</v>
      </c>
      <c r="B4">
        <f t="shared" si="0"/>
        <v>788</v>
      </c>
      <c r="C4">
        <v>58</v>
      </c>
      <c r="D4">
        <v>71</v>
      </c>
      <c r="E4">
        <v>0</v>
      </c>
      <c r="F4">
        <v>38</v>
      </c>
      <c r="G4">
        <v>1</v>
      </c>
      <c r="H4">
        <v>64</v>
      </c>
      <c r="I4">
        <v>54</v>
      </c>
      <c r="J4">
        <v>71</v>
      </c>
      <c r="K4">
        <v>59</v>
      </c>
      <c r="L4">
        <v>1</v>
      </c>
      <c r="M4">
        <v>65</v>
      </c>
      <c r="N4">
        <v>19</v>
      </c>
      <c r="O4">
        <v>53</v>
      </c>
      <c r="P4">
        <v>71</v>
      </c>
      <c r="Q4">
        <v>42</v>
      </c>
      <c r="R4">
        <v>52</v>
      </c>
      <c r="S4">
        <v>69</v>
      </c>
    </row>
    <row r="5" spans="1:19" x14ac:dyDescent="0.25">
      <c r="A5" t="s">
        <v>6</v>
      </c>
      <c r="B5">
        <f t="shared" si="0"/>
        <v>697</v>
      </c>
      <c r="C5">
        <v>1</v>
      </c>
      <c r="D5">
        <v>52</v>
      </c>
      <c r="E5">
        <v>72</v>
      </c>
      <c r="F5">
        <v>17</v>
      </c>
      <c r="G5">
        <v>10</v>
      </c>
      <c r="H5">
        <v>50</v>
      </c>
      <c r="I5">
        <v>14</v>
      </c>
      <c r="J5">
        <v>72</v>
      </c>
      <c r="K5">
        <v>59</v>
      </c>
      <c r="L5">
        <v>45</v>
      </c>
      <c r="M5">
        <v>77</v>
      </c>
      <c r="N5">
        <v>21</v>
      </c>
      <c r="O5">
        <v>39</v>
      </c>
      <c r="P5">
        <v>71</v>
      </c>
      <c r="Q5">
        <v>0</v>
      </c>
      <c r="R5">
        <v>53</v>
      </c>
      <c r="S5">
        <v>44</v>
      </c>
    </row>
    <row r="6" spans="1:19" x14ac:dyDescent="0.25">
      <c r="A6" t="s">
        <v>9</v>
      </c>
      <c r="B6">
        <f t="shared" si="0"/>
        <v>810</v>
      </c>
      <c r="C6">
        <v>0</v>
      </c>
      <c r="D6">
        <v>72</v>
      </c>
      <c r="E6">
        <v>72</v>
      </c>
      <c r="F6">
        <v>40</v>
      </c>
      <c r="G6">
        <v>16</v>
      </c>
      <c r="H6">
        <v>64</v>
      </c>
      <c r="I6">
        <v>1</v>
      </c>
      <c r="J6">
        <v>72</v>
      </c>
      <c r="K6">
        <v>59</v>
      </c>
      <c r="L6">
        <v>33</v>
      </c>
      <c r="M6">
        <v>77</v>
      </c>
      <c r="N6">
        <v>44</v>
      </c>
      <c r="O6">
        <v>53</v>
      </c>
      <c r="P6">
        <v>71</v>
      </c>
      <c r="Q6">
        <v>67</v>
      </c>
      <c r="R6">
        <v>0</v>
      </c>
      <c r="S6">
        <v>69</v>
      </c>
    </row>
    <row r="7" spans="1:19" x14ac:dyDescent="0.25">
      <c r="A7" t="s">
        <v>10</v>
      </c>
      <c r="B7">
        <f t="shared" si="0"/>
        <v>558</v>
      </c>
      <c r="C7">
        <v>58</v>
      </c>
      <c r="D7">
        <v>72</v>
      </c>
      <c r="E7">
        <v>18</v>
      </c>
      <c r="F7">
        <v>61</v>
      </c>
      <c r="G7">
        <v>62</v>
      </c>
      <c r="H7">
        <v>64</v>
      </c>
      <c r="I7">
        <v>51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67</v>
      </c>
      <c r="R7">
        <v>36</v>
      </c>
      <c r="S7">
        <v>69</v>
      </c>
    </row>
    <row r="8" spans="1:19" x14ac:dyDescent="0.25">
      <c r="A8" t="s">
        <v>12</v>
      </c>
      <c r="B8">
        <f t="shared" si="0"/>
        <v>701</v>
      </c>
      <c r="C8">
        <v>55</v>
      </c>
      <c r="D8">
        <v>71</v>
      </c>
      <c r="E8">
        <v>71</v>
      </c>
      <c r="F8">
        <v>0</v>
      </c>
      <c r="G8">
        <v>7</v>
      </c>
      <c r="H8">
        <v>62</v>
      </c>
      <c r="I8">
        <v>32</v>
      </c>
      <c r="J8">
        <v>70</v>
      </c>
      <c r="K8">
        <v>58</v>
      </c>
      <c r="L8">
        <v>45</v>
      </c>
      <c r="M8">
        <v>77</v>
      </c>
      <c r="N8">
        <v>42</v>
      </c>
      <c r="O8">
        <v>53</v>
      </c>
      <c r="P8">
        <v>58</v>
      </c>
      <c r="Q8">
        <v>0</v>
      </c>
      <c r="R8">
        <v>0</v>
      </c>
      <c r="S8">
        <v>0</v>
      </c>
    </row>
    <row r="9" spans="1:19" x14ac:dyDescent="0.25">
      <c r="A9" t="s">
        <v>14</v>
      </c>
      <c r="B9">
        <f t="shared" si="0"/>
        <v>851</v>
      </c>
      <c r="C9">
        <v>14</v>
      </c>
      <c r="D9">
        <v>72</v>
      </c>
      <c r="E9">
        <v>24</v>
      </c>
      <c r="F9">
        <v>62</v>
      </c>
      <c r="G9">
        <v>61</v>
      </c>
      <c r="H9">
        <v>64</v>
      </c>
      <c r="I9">
        <v>54</v>
      </c>
      <c r="J9">
        <v>71</v>
      </c>
      <c r="K9">
        <v>58</v>
      </c>
      <c r="L9">
        <v>40</v>
      </c>
      <c r="M9">
        <v>42</v>
      </c>
      <c r="N9">
        <v>44</v>
      </c>
      <c r="O9">
        <v>53</v>
      </c>
      <c r="P9">
        <v>71</v>
      </c>
      <c r="Q9">
        <v>0</v>
      </c>
      <c r="R9">
        <v>53</v>
      </c>
      <c r="S9">
        <v>68</v>
      </c>
    </row>
    <row r="10" spans="1:19" x14ac:dyDescent="0.25">
      <c r="A10" t="s">
        <v>16</v>
      </c>
      <c r="B10">
        <f t="shared" si="0"/>
        <v>800</v>
      </c>
      <c r="C10">
        <v>0</v>
      </c>
      <c r="D10">
        <v>70</v>
      </c>
      <c r="E10">
        <v>72</v>
      </c>
      <c r="F10">
        <v>62</v>
      </c>
      <c r="G10">
        <v>62</v>
      </c>
      <c r="H10">
        <v>63</v>
      </c>
      <c r="I10">
        <v>0</v>
      </c>
      <c r="J10">
        <v>72</v>
      </c>
      <c r="K10">
        <v>44</v>
      </c>
      <c r="L10">
        <v>1</v>
      </c>
      <c r="M10">
        <v>76</v>
      </c>
      <c r="N10">
        <v>43</v>
      </c>
      <c r="O10">
        <v>53</v>
      </c>
      <c r="P10">
        <v>38</v>
      </c>
      <c r="Q10">
        <v>22</v>
      </c>
      <c r="R10">
        <v>53</v>
      </c>
      <c r="S10">
        <v>69</v>
      </c>
    </row>
    <row r="11" spans="1:19" x14ac:dyDescent="0.25">
      <c r="A11" t="s">
        <v>55</v>
      </c>
      <c r="B11">
        <f t="shared" si="0"/>
        <v>810</v>
      </c>
      <c r="C11">
        <v>55</v>
      </c>
      <c r="D11">
        <v>72</v>
      </c>
      <c r="E11">
        <v>5</v>
      </c>
      <c r="F11">
        <v>62</v>
      </c>
      <c r="G11">
        <v>39</v>
      </c>
      <c r="H11">
        <v>64</v>
      </c>
      <c r="I11">
        <v>54</v>
      </c>
      <c r="J11">
        <v>72</v>
      </c>
      <c r="K11">
        <v>0</v>
      </c>
      <c r="L11">
        <v>1</v>
      </c>
      <c r="M11">
        <v>29</v>
      </c>
      <c r="N11">
        <v>44</v>
      </c>
      <c r="O11">
        <v>53</v>
      </c>
      <c r="P11">
        <v>71</v>
      </c>
      <c r="Q11">
        <v>67</v>
      </c>
      <c r="R11">
        <v>53</v>
      </c>
      <c r="S11">
        <v>69</v>
      </c>
    </row>
    <row r="12" spans="1:19" x14ac:dyDescent="0.25">
      <c r="A12" t="s">
        <v>21</v>
      </c>
      <c r="B12">
        <f t="shared" si="0"/>
        <v>903</v>
      </c>
      <c r="C12">
        <v>42</v>
      </c>
      <c r="D12">
        <v>71</v>
      </c>
      <c r="E12">
        <v>71</v>
      </c>
      <c r="F12">
        <v>60</v>
      </c>
      <c r="G12">
        <v>61</v>
      </c>
      <c r="H12">
        <v>35</v>
      </c>
      <c r="I12">
        <v>46</v>
      </c>
      <c r="J12">
        <v>61</v>
      </c>
      <c r="K12">
        <v>44</v>
      </c>
      <c r="L12">
        <v>33</v>
      </c>
      <c r="M12">
        <v>75</v>
      </c>
      <c r="N12">
        <v>43</v>
      </c>
      <c r="O12">
        <v>33</v>
      </c>
      <c r="P12">
        <v>48</v>
      </c>
      <c r="Q12">
        <v>66</v>
      </c>
      <c r="R12">
        <v>46</v>
      </c>
      <c r="S12">
        <v>68</v>
      </c>
    </row>
    <row r="13" spans="1:19" x14ac:dyDescent="0.25">
      <c r="A13" t="s">
        <v>47</v>
      </c>
      <c r="B13">
        <f t="shared" si="0"/>
        <v>781</v>
      </c>
      <c r="C13">
        <v>2</v>
      </c>
      <c r="D13">
        <v>70</v>
      </c>
      <c r="E13">
        <v>43</v>
      </c>
      <c r="F13">
        <v>60</v>
      </c>
      <c r="G13">
        <v>60</v>
      </c>
      <c r="H13">
        <v>63</v>
      </c>
      <c r="I13">
        <v>42</v>
      </c>
      <c r="J13">
        <v>15</v>
      </c>
      <c r="K13">
        <v>45</v>
      </c>
      <c r="L13">
        <v>44</v>
      </c>
      <c r="M13">
        <v>61</v>
      </c>
      <c r="N13">
        <v>25</v>
      </c>
      <c r="O13">
        <v>12</v>
      </c>
      <c r="P13">
        <v>69</v>
      </c>
      <c r="Q13">
        <v>50</v>
      </c>
      <c r="R13">
        <v>52</v>
      </c>
      <c r="S13">
        <v>68</v>
      </c>
    </row>
    <row r="14" spans="1:19" x14ac:dyDescent="0.25">
      <c r="A14" t="s">
        <v>68</v>
      </c>
      <c r="B14">
        <f t="shared" si="0"/>
        <v>154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35</v>
      </c>
      <c r="J14">
        <v>60</v>
      </c>
      <c r="K14">
        <v>59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FC8D-E56E-407E-83EA-E01E6A3300AE}">
  <dimension ref="A1:R14"/>
  <sheetViews>
    <sheetView tabSelected="1" workbookViewId="0">
      <selection activeCell="H8" sqref="H8"/>
    </sheetView>
  </sheetViews>
  <sheetFormatPr defaultRowHeight="15" x14ac:dyDescent="0.25"/>
  <cols>
    <col min="1" max="1" width="20.7109375" bestFit="1" customWidth="1"/>
    <col min="17" max="17" width="11.7109375" bestFit="1" customWidth="1"/>
    <col min="18" max="18" width="6.28515625" bestFit="1" customWidth="1"/>
  </cols>
  <sheetData>
    <row r="1" spans="1:18" x14ac:dyDescent="0.25">
      <c r="A1" t="s">
        <v>0</v>
      </c>
      <c r="B1" t="s">
        <v>23</v>
      </c>
      <c r="C1" t="s">
        <v>24</v>
      </c>
      <c r="D1" t="s">
        <v>26</v>
      </c>
      <c r="E1" t="s">
        <v>51</v>
      </c>
      <c r="F1" t="s">
        <v>27</v>
      </c>
      <c r="G1" t="s">
        <v>28</v>
      </c>
      <c r="H1" t="s">
        <v>30</v>
      </c>
      <c r="I1" t="s">
        <v>31</v>
      </c>
      <c r="J1" t="s">
        <v>34</v>
      </c>
      <c r="K1" t="s">
        <v>33</v>
      </c>
      <c r="L1" t="s">
        <v>29</v>
      </c>
      <c r="M1" t="s">
        <v>35</v>
      </c>
      <c r="N1" t="s">
        <v>36</v>
      </c>
      <c r="O1" t="s">
        <v>37</v>
      </c>
      <c r="P1" t="s">
        <v>38</v>
      </c>
      <c r="Q1" t="s">
        <v>152</v>
      </c>
      <c r="R1" t="s">
        <v>40</v>
      </c>
    </row>
    <row r="2" spans="1:18" x14ac:dyDescent="0.25">
      <c r="A2" t="s">
        <v>1</v>
      </c>
      <c r="B2">
        <f>SUM(C2:R2)</f>
        <v>78</v>
      </c>
      <c r="C2">
        <v>5</v>
      </c>
      <c r="D2">
        <v>72</v>
      </c>
      <c r="E2">
        <v>1</v>
      </c>
    </row>
    <row r="3" spans="1:18" x14ac:dyDescent="0.25">
      <c r="A3" t="s">
        <v>2</v>
      </c>
      <c r="B3">
        <f t="shared" ref="B3:B14" si="0">SUM(C3:R3)</f>
        <v>57</v>
      </c>
      <c r="C3">
        <v>0</v>
      </c>
      <c r="D3">
        <v>56</v>
      </c>
      <c r="E3">
        <v>1</v>
      </c>
    </row>
    <row r="4" spans="1:18" x14ac:dyDescent="0.25">
      <c r="A4" t="s">
        <v>4</v>
      </c>
      <c r="B4">
        <f t="shared" si="0"/>
        <v>131</v>
      </c>
      <c r="C4">
        <v>58</v>
      </c>
      <c r="D4">
        <v>72</v>
      </c>
      <c r="E4">
        <v>1</v>
      </c>
    </row>
    <row r="5" spans="1:18" x14ac:dyDescent="0.25">
      <c r="A5" t="s">
        <v>6</v>
      </c>
      <c r="B5">
        <f t="shared" si="0"/>
        <v>2</v>
      </c>
      <c r="C5">
        <v>1</v>
      </c>
      <c r="D5">
        <v>0</v>
      </c>
      <c r="E5">
        <v>1</v>
      </c>
    </row>
    <row r="6" spans="1:18" x14ac:dyDescent="0.25">
      <c r="A6" t="s">
        <v>9</v>
      </c>
      <c r="B6">
        <f t="shared" si="0"/>
        <v>129</v>
      </c>
      <c r="C6">
        <v>57</v>
      </c>
      <c r="D6">
        <v>71</v>
      </c>
      <c r="E6">
        <v>1</v>
      </c>
    </row>
    <row r="7" spans="1:18" x14ac:dyDescent="0.25">
      <c r="A7" t="s">
        <v>10</v>
      </c>
      <c r="B7">
        <f t="shared" si="0"/>
        <v>121</v>
      </c>
      <c r="C7">
        <v>57</v>
      </c>
      <c r="D7">
        <v>63</v>
      </c>
      <c r="E7">
        <v>1</v>
      </c>
    </row>
    <row r="8" spans="1:18" x14ac:dyDescent="0.25">
      <c r="A8" t="s">
        <v>12</v>
      </c>
      <c r="B8">
        <f t="shared" si="0"/>
        <v>44</v>
      </c>
      <c r="C8">
        <v>26</v>
      </c>
      <c r="D8">
        <v>17</v>
      </c>
      <c r="E8">
        <v>1</v>
      </c>
    </row>
    <row r="9" spans="1:18" x14ac:dyDescent="0.25">
      <c r="A9" t="s">
        <v>14</v>
      </c>
      <c r="B9">
        <f t="shared" si="0"/>
        <v>115</v>
      </c>
      <c r="C9">
        <v>43</v>
      </c>
      <c r="D9">
        <v>71</v>
      </c>
      <c r="E9">
        <v>1</v>
      </c>
    </row>
    <row r="10" spans="1:18" x14ac:dyDescent="0.25">
      <c r="A10" t="s">
        <v>16</v>
      </c>
      <c r="B10">
        <f t="shared" si="0"/>
        <v>129</v>
      </c>
      <c r="C10">
        <v>57</v>
      </c>
      <c r="D10">
        <v>71</v>
      </c>
      <c r="E10">
        <v>1</v>
      </c>
    </row>
    <row r="11" spans="1:18" x14ac:dyDescent="0.25">
      <c r="A11" t="s">
        <v>55</v>
      </c>
      <c r="B11">
        <f t="shared" si="0"/>
        <v>129</v>
      </c>
      <c r="C11">
        <v>57</v>
      </c>
      <c r="D11">
        <v>71</v>
      </c>
      <c r="E11">
        <v>1</v>
      </c>
    </row>
    <row r="12" spans="1:18" x14ac:dyDescent="0.25">
      <c r="A12" t="s">
        <v>21</v>
      </c>
      <c r="B12">
        <f t="shared" si="0"/>
        <v>42</v>
      </c>
      <c r="C12">
        <v>23</v>
      </c>
      <c r="D12">
        <v>18</v>
      </c>
      <c r="E12">
        <v>1</v>
      </c>
    </row>
    <row r="13" spans="1:18" x14ac:dyDescent="0.25">
      <c r="A13" t="s">
        <v>47</v>
      </c>
      <c r="B13">
        <f t="shared" si="0"/>
        <v>0</v>
      </c>
      <c r="C13">
        <v>0</v>
      </c>
      <c r="D13">
        <v>0</v>
      </c>
      <c r="E13">
        <v>0</v>
      </c>
    </row>
    <row r="14" spans="1:18" x14ac:dyDescent="0.25">
      <c r="A14" t="s">
        <v>68</v>
      </c>
      <c r="B14">
        <f t="shared" si="0"/>
        <v>130</v>
      </c>
      <c r="C14">
        <v>57</v>
      </c>
      <c r="D14">
        <v>72</v>
      </c>
      <c r="E1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F957-1D62-4580-B7C6-2DFEBD8C86A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6B72-571E-40C4-AD69-3294909EA05A}">
  <dimension ref="A1"/>
  <sheetViews>
    <sheetView workbookViewId="0">
      <selection activeCell="H9" sqref="H9:I9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DBD5-1047-4E7D-B3B5-A719C2F7680D}">
  <dimension ref="A1"/>
  <sheetViews>
    <sheetView workbookViewId="0">
      <selection activeCell="J18" sqref="J18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FD00-70E4-44ED-874D-48591AC61FE1}">
  <dimension ref="A1:S24"/>
  <sheetViews>
    <sheetView zoomScale="85" zoomScaleNormal="85" workbookViewId="0">
      <selection activeCell="J65" sqref="J65"/>
    </sheetView>
  </sheetViews>
  <sheetFormatPr defaultRowHeight="15" x14ac:dyDescent="0.25"/>
  <cols>
    <col min="1" max="1" width="19.28515625" bestFit="1" customWidth="1"/>
    <col min="6" max="6" width="9.85546875" bestFit="1" customWidth="1"/>
    <col min="12" max="12" width="11.140625" bestFit="1" customWidth="1"/>
    <col min="18" max="18" width="11.5703125" bestFit="1" customWidth="1"/>
  </cols>
  <sheetData>
    <row r="1" spans="1:19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x14ac:dyDescent="0.25">
      <c r="A2" t="s">
        <v>1</v>
      </c>
      <c r="B2">
        <f>SUM(C2:C2:S2)</f>
        <v>0</v>
      </c>
    </row>
    <row r="3" spans="1:19" x14ac:dyDescent="0.25">
      <c r="A3" t="s">
        <v>2</v>
      </c>
      <c r="B3">
        <f>SUM(C3:C3:S3)</f>
        <v>0</v>
      </c>
    </row>
    <row r="4" spans="1:19" x14ac:dyDescent="0.25">
      <c r="A4" t="s">
        <v>3</v>
      </c>
      <c r="B4">
        <f>SUM(C4:C4:S4)</f>
        <v>0</v>
      </c>
    </row>
    <row r="5" spans="1:19" x14ac:dyDescent="0.25">
      <c r="A5" t="s">
        <v>4</v>
      </c>
      <c r="B5">
        <f>SUM(C5:C5:S5)</f>
        <v>0</v>
      </c>
    </row>
    <row r="6" spans="1:19" x14ac:dyDescent="0.25">
      <c r="A6" t="s">
        <v>5</v>
      </c>
      <c r="B6">
        <f>SUM(C6:C6:S6)</f>
        <v>0</v>
      </c>
    </row>
    <row r="7" spans="1:19" x14ac:dyDescent="0.25">
      <c r="A7" t="s">
        <v>6</v>
      </c>
      <c r="B7">
        <f>SUM(C7:C7:S7)</f>
        <v>0</v>
      </c>
    </row>
    <row r="8" spans="1:19" x14ac:dyDescent="0.25">
      <c r="A8" t="s">
        <v>7</v>
      </c>
      <c r="B8">
        <f>SUM(C8:C8:S8)</f>
        <v>0</v>
      </c>
    </row>
    <row r="9" spans="1:19" x14ac:dyDescent="0.25">
      <c r="A9" t="s">
        <v>8</v>
      </c>
      <c r="B9">
        <f>SUM(C9:C9:S9)</f>
        <v>0</v>
      </c>
    </row>
    <row r="10" spans="1:19" x14ac:dyDescent="0.25">
      <c r="A10" t="s">
        <v>9</v>
      </c>
      <c r="B10">
        <f>SUM(C10:C10:S10)</f>
        <v>0</v>
      </c>
    </row>
    <row r="11" spans="1:19" x14ac:dyDescent="0.25">
      <c r="A11" t="s">
        <v>10</v>
      </c>
      <c r="B11">
        <f>SUM(C11:C11:S11)</f>
        <v>0</v>
      </c>
    </row>
    <row r="12" spans="1:19" x14ac:dyDescent="0.25">
      <c r="A12" t="s">
        <v>11</v>
      </c>
      <c r="B12">
        <f>SUM(C12:C12:S12)</f>
        <v>0</v>
      </c>
    </row>
    <row r="13" spans="1:19" x14ac:dyDescent="0.25">
      <c r="A13" t="s">
        <v>12</v>
      </c>
      <c r="B13">
        <f>SUM(C13:C13:S13)</f>
        <v>0</v>
      </c>
    </row>
    <row r="14" spans="1:19" x14ac:dyDescent="0.25">
      <c r="A14" t="s">
        <v>13</v>
      </c>
      <c r="B14">
        <f>SUM(C14:C14:S14)</f>
        <v>0</v>
      </c>
    </row>
    <row r="15" spans="1:19" x14ac:dyDescent="0.25">
      <c r="A15" t="s">
        <v>14</v>
      </c>
      <c r="B15">
        <f>SUM(C15:C15:S15)</f>
        <v>0</v>
      </c>
    </row>
    <row r="16" spans="1:19" x14ac:dyDescent="0.25">
      <c r="A16" t="s">
        <v>15</v>
      </c>
      <c r="B16">
        <f>SUM(C16:C16:S16)</f>
        <v>0</v>
      </c>
    </row>
    <row r="17" spans="1:2" x14ac:dyDescent="0.25">
      <c r="A17" t="s">
        <v>16</v>
      </c>
      <c r="B17">
        <f>SUM(C17:C17:S17)</f>
        <v>0</v>
      </c>
    </row>
    <row r="18" spans="1:2" x14ac:dyDescent="0.25">
      <c r="A18" t="s">
        <v>17</v>
      </c>
      <c r="B18">
        <f>SUM(C18:C18:S18)</f>
        <v>0</v>
      </c>
    </row>
    <row r="19" spans="1:2" x14ac:dyDescent="0.25">
      <c r="A19" t="s">
        <v>52</v>
      </c>
      <c r="B19">
        <f>SUM(C19:C19:S19)</f>
        <v>0</v>
      </c>
    </row>
    <row r="20" spans="1:2" x14ac:dyDescent="0.25">
      <c r="A20" t="s">
        <v>18</v>
      </c>
      <c r="B20">
        <f>SUM(C20:C20:S20)</f>
        <v>0</v>
      </c>
    </row>
    <row r="21" spans="1:2" x14ac:dyDescent="0.25">
      <c r="A21" t="s">
        <v>19</v>
      </c>
      <c r="B21">
        <f>SUM(C21:C21:S21)</f>
        <v>0</v>
      </c>
    </row>
    <row r="22" spans="1:2" x14ac:dyDescent="0.25">
      <c r="A22" t="s">
        <v>20</v>
      </c>
      <c r="B22">
        <f>SUM(C22:C22:S22)</f>
        <v>0</v>
      </c>
    </row>
    <row r="23" spans="1:2" x14ac:dyDescent="0.25">
      <c r="A23" t="s">
        <v>21</v>
      </c>
      <c r="B23">
        <f>SUM(C23:C23:S23)</f>
        <v>0</v>
      </c>
    </row>
    <row r="24" spans="1:2" x14ac:dyDescent="0.25">
      <c r="A24" t="s">
        <v>22</v>
      </c>
      <c r="B24">
        <f>SUM(C24:C24:S24)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303C-7F1D-4CBD-BF56-16C815E789BE}">
  <dimension ref="A1:B25"/>
  <sheetViews>
    <sheetView workbookViewId="0">
      <selection activeCell="A23" sqref="A23"/>
    </sheetView>
  </sheetViews>
  <sheetFormatPr defaultRowHeight="15" x14ac:dyDescent="0.25"/>
  <cols>
    <col min="1" max="1" width="20.7109375" bestFit="1" customWidth="1"/>
    <col min="2" max="2" width="4.85546875" bestFit="1" customWidth="1"/>
  </cols>
  <sheetData>
    <row r="1" spans="1:2" x14ac:dyDescent="0.25">
      <c r="A1" t="s">
        <v>0</v>
      </c>
      <c r="B1" t="s">
        <v>23</v>
      </c>
    </row>
    <row r="2" spans="1:2" x14ac:dyDescent="0.25">
      <c r="A2" t="s">
        <v>1</v>
      </c>
    </row>
    <row r="3" spans="1:2" x14ac:dyDescent="0.25">
      <c r="A3" t="s">
        <v>3</v>
      </c>
    </row>
    <row r="4" spans="1:2" x14ac:dyDescent="0.25">
      <c r="A4" t="s">
        <v>5</v>
      </c>
    </row>
    <row r="5" spans="1:2" x14ac:dyDescent="0.25">
      <c r="A5" t="s">
        <v>2</v>
      </c>
    </row>
    <row r="6" spans="1:2" x14ac:dyDescent="0.25">
      <c r="A6" t="s">
        <v>6</v>
      </c>
    </row>
    <row r="7" spans="1:2" x14ac:dyDescent="0.25">
      <c r="A7" t="s">
        <v>54</v>
      </c>
    </row>
    <row r="8" spans="1:2" x14ac:dyDescent="0.25">
      <c r="A8" t="s">
        <v>4</v>
      </c>
    </row>
    <row r="9" spans="1:2" x14ac:dyDescent="0.25">
      <c r="A9" t="s">
        <v>12</v>
      </c>
    </row>
    <row r="10" spans="1:2" x14ac:dyDescent="0.25">
      <c r="A10" t="s">
        <v>11</v>
      </c>
    </row>
    <row r="11" spans="1:2" x14ac:dyDescent="0.25">
      <c r="A11" t="s">
        <v>17</v>
      </c>
    </row>
    <row r="12" spans="1:2" x14ac:dyDescent="0.25">
      <c r="A12" t="s">
        <v>55</v>
      </c>
    </row>
    <row r="13" spans="1:2" x14ac:dyDescent="0.25">
      <c r="A13" t="s">
        <v>14</v>
      </c>
    </row>
    <row r="14" spans="1:2" x14ac:dyDescent="0.25">
      <c r="A14" t="s">
        <v>56</v>
      </c>
    </row>
    <row r="15" spans="1:2" x14ac:dyDescent="0.25">
      <c r="A15" t="s">
        <v>8</v>
      </c>
    </row>
    <row r="16" spans="1:2" x14ac:dyDescent="0.25">
      <c r="A16" t="s">
        <v>10</v>
      </c>
    </row>
    <row r="17" spans="1:1" x14ac:dyDescent="0.25">
      <c r="A17" t="s">
        <v>9</v>
      </c>
    </row>
    <row r="18" spans="1:1" x14ac:dyDescent="0.25">
      <c r="A18" t="s">
        <v>53</v>
      </c>
    </row>
    <row r="19" spans="1:1" x14ac:dyDescent="0.25">
      <c r="A19" t="s">
        <v>13</v>
      </c>
    </row>
    <row r="20" spans="1:1" x14ac:dyDescent="0.25">
      <c r="A20" t="s">
        <v>57</v>
      </c>
    </row>
    <row r="21" spans="1:1" x14ac:dyDescent="0.25">
      <c r="A21" t="s">
        <v>58</v>
      </c>
    </row>
    <row r="22" spans="1:1" x14ac:dyDescent="0.25">
      <c r="A22" t="s">
        <v>59</v>
      </c>
    </row>
    <row r="23" spans="1:1" x14ac:dyDescent="0.25">
      <c r="A23" t="s">
        <v>47</v>
      </c>
    </row>
    <row r="24" spans="1:1" x14ac:dyDescent="0.25">
      <c r="A24" t="s">
        <v>60</v>
      </c>
    </row>
    <row r="25" spans="1:1" x14ac:dyDescent="0.25">
      <c r="A25" t="s">
        <v>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DB57-1D34-4995-8AA7-BD186A2BDBE8}">
  <dimension ref="A1:B26"/>
  <sheetViews>
    <sheetView workbookViewId="0"/>
  </sheetViews>
  <sheetFormatPr defaultRowHeight="15" x14ac:dyDescent="0.25"/>
  <cols>
    <col min="1" max="1" width="19.7109375" bestFit="1" customWidth="1"/>
  </cols>
  <sheetData>
    <row r="1" spans="1:2" x14ac:dyDescent="0.25">
      <c r="A1" t="s">
        <v>0</v>
      </c>
      <c r="B1" t="s">
        <v>23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11</v>
      </c>
    </row>
    <row r="5" spans="1:2" x14ac:dyDescent="0.25">
      <c r="A5" t="s">
        <v>54</v>
      </c>
    </row>
    <row r="6" spans="1:2" x14ac:dyDescent="0.25">
      <c r="A6" t="s">
        <v>5</v>
      </c>
    </row>
    <row r="7" spans="1:2" x14ac:dyDescent="0.25">
      <c r="A7" t="s">
        <v>12</v>
      </c>
    </row>
    <row r="8" spans="1:2" x14ac:dyDescent="0.25">
      <c r="A8" t="s">
        <v>3</v>
      </c>
    </row>
    <row r="9" spans="1:2" x14ac:dyDescent="0.25">
      <c r="A9" t="s">
        <v>13</v>
      </c>
    </row>
    <row r="10" spans="1:2" x14ac:dyDescent="0.25">
      <c r="A10" t="s">
        <v>6</v>
      </c>
    </row>
    <row r="11" spans="1:2" x14ac:dyDescent="0.25">
      <c r="A11" t="s">
        <v>4</v>
      </c>
    </row>
    <row r="12" spans="1:2" x14ac:dyDescent="0.25">
      <c r="A12" t="s">
        <v>14</v>
      </c>
    </row>
    <row r="13" spans="1:2" x14ac:dyDescent="0.25">
      <c r="A13" t="s">
        <v>7</v>
      </c>
    </row>
    <row r="14" spans="1:2" x14ac:dyDescent="0.25">
      <c r="A14" t="s">
        <v>17</v>
      </c>
    </row>
    <row r="15" spans="1:2" x14ac:dyDescent="0.25">
      <c r="A15" t="s">
        <v>10</v>
      </c>
    </row>
    <row r="16" spans="1:2" x14ac:dyDescent="0.25">
      <c r="A16" t="s">
        <v>59</v>
      </c>
    </row>
    <row r="17" spans="1:1" x14ac:dyDescent="0.25">
      <c r="A17" t="s">
        <v>62</v>
      </c>
    </row>
    <row r="18" spans="1:1" x14ac:dyDescent="0.25">
      <c r="A18" t="s">
        <v>56</v>
      </c>
    </row>
    <row r="19" spans="1:1" x14ac:dyDescent="0.25">
      <c r="A19" t="s">
        <v>8</v>
      </c>
    </row>
    <row r="20" spans="1:1" x14ac:dyDescent="0.25">
      <c r="A20" t="s">
        <v>63</v>
      </c>
    </row>
    <row r="21" spans="1:1" x14ac:dyDescent="0.25">
      <c r="A21" t="s">
        <v>61</v>
      </c>
    </row>
    <row r="22" spans="1:1" x14ac:dyDescent="0.25">
      <c r="A22" t="s">
        <v>9</v>
      </c>
    </row>
    <row r="23" spans="1:1" x14ac:dyDescent="0.25">
      <c r="A23" t="s">
        <v>64</v>
      </c>
    </row>
    <row r="24" spans="1:1" x14ac:dyDescent="0.25">
      <c r="A24" t="s">
        <v>53</v>
      </c>
    </row>
    <row r="25" spans="1:1" x14ac:dyDescent="0.25">
      <c r="A25" t="s">
        <v>65</v>
      </c>
    </row>
    <row r="26" spans="1:1" x14ac:dyDescent="0.25">
      <c r="A26" t="s">
        <v>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FCB7-825F-41B0-8DBE-275FB691B4D1}">
  <dimension ref="A1:A26"/>
  <sheetViews>
    <sheetView workbookViewId="0">
      <selection activeCell="A26" sqref="A2:A26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54</v>
      </c>
    </row>
    <row r="3" spans="1:1" x14ac:dyDescent="0.25">
      <c r="A3" t="s">
        <v>3</v>
      </c>
    </row>
    <row r="4" spans="1:1" x14ac:dyDescent="0.25">
      <c r="A4" t="s">
        <v>1</v>
      </c>
    </row>
    <row r="5" spans="1:1" x14ac:dyDescent="0.25">
      <c r="A5" t="s">
        <v>5</v>
      </c>
    </row>
    <row r="6" spans="1:1" x14ac:dyDescent="0.25">
      <c r="A6" t="s">
        <v>14</v>
      </c>
    </row>
    <row r="7" spans="1:1" x14ac:dyDescent="0.25">
      <c r="A7" t="s">
        <v>6</v>
      </c>
    </row>
    <row r="8" spans="1:1" x14ac:dyDescent="0.25">
      <c r="A8" t="s">
        <v>12</v>
      </c>
    </row>
    <row r="9" spans="1:1" x14ac:dyDescent="0.25">
      <c r="A9" t="s">
        <v>2</v>
      </c>
    </row>
    <row r="10" spans="1:1" x14ac:dyDescent="0.25">
      <c r="A10" t="s">
        <v>11</v>
      </c>
    </row>
    <row r="11" spans="1:1" x14ac:dyDescent="0.25">
      <c r="A11" t="s">
        <v>17</v>
      </c>
    </row>
    <row r="12" spans="1:1" x14ac:dyDescent="0.25">
      <c r="A12" t="s">
        <v>8</v>
      </c>
    </row>
    <row r="13" spans="1:1" x14ac:dyDescent="0.25">
      <c r="A13" t="s">
        <v>4</v>
      </c>
    </row>
    <row r="14" spans="1:1" x14ac:dyDescent="0.25">
      <c r="A14" t="s">
        <v>7</v>
      </c>
    </row>
    <row r="15" spans="1:1" x14ac:dyDescent="0.25">
      <c r="A15" t="s">
        <v>9</v>
      </c>
    </row>
    <row r="16" spans="1:1" x14ac:dyDescent="0.25">
      <c r="A16" t="s">
        <v>62</v>
      </c>
    </row>
    <row r="17" spans="1:1" x14ac:dyDescent="0.25">
      <c r="A17" t="s">
        <v>67</v>
      </c>
    </row>
    <row r="18" spans="1:1" x14ac:dyDescent="0.25">
      <c r="A18" t="s">
        <v>68</v>
      </c>
    </row>
    <row r="19" spans="1:1" x14ac:dyDescent="0.25">
      <c r="A19" t="s">
        <v>69</v>
      </c>
    </row>
    <row r="20" spans="1:1" x14ac:dyDescent="0.25">
      <c r="A20" t="s">
        <v>70</v>
      </c>
    </row>
    <row r="21" spans="1:1" x14ac:dyDescent="0.25">
      <c r="A21" t="s">
        <v>15</v>
      </c>
    </row>
    <row r="22" spans="1:1" x14ac:dyDescent="0.25">
      <c r="A22" t="s">
        <v>71</v>
      </c>
    </row>
    <row r="23" spans="1:1" x14ac:dyDescent="0.25">
      <c r="A23" t="s">
        <v>59</v>
      </c>
    </row>
    <row r="24" spans="1:1" x14ac:dyDescent="0.25">
      <c r="A24" t="s">
        <v>13</v>
      </c>
    </row>
    <row r="25" spans="1:1" x14ac:dyDescent="0.25">
      <c r="A25" t="s">
        <v>72</v>
      </c>
    </row>
    <row r="26" spans="1:1" x14ac:dyDescent="0.25">
      <c r="A26" t="s">
        <v>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079E-583C-4AF5-A6A9-C3E86F60AFD7}">
  <dimension ref="A1:A28"/>
  <sheetViews>
    <sheetView workbookViewId="0">
      <selection activeCell="E1" sqref="E1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54</v>
      </c>
    </row>
    <row r="3" spans="1:1" x14ac:dyDescent="0.25">
      <c r="A3" t="s">
        <v>1</v>
      </c>
    </row>
    <row r="4" spans="1:1" x14ac:dyDescent="0.25">
      <c r="A4" t="s">
        <v>7</v>
      </c>
    </row>
    <row r="5" spans="1:1" x14ac:dyDescent="0.25">
      <c r="A5" t="s">
        <v>14</v>
      </c>
    </row>
    <row r="6" spans="1:1" x14ac:dyDescent="0.25">
      <c r="A6" t="s">
        <v>3</v>
      </c>
    </row>
    <row r="7" spans="1:1" x14ac:dyDescent="0.25">
      <c r="A7" t="s">
        <v>11</v>
      </c>
    </row>
    <row r="8" spans="1:1" x14ac:dyDescent="0.25">
      <c r="A8" t="s">
        <v>2</v>
      </c>
    </row>
    <row r="9" spans="1:1" x14ac:dyDescent="0.25">
      <c r="A9" t="s">
        <v>5</v>
      </c>
    </row>
    <row r="10" spans="1:1" x14ac:dyDescent="0.25">
      <c r="A10" t="s">
        <v>8</v>
      </c>
    </row>
    <row r="11" spans="1:1" x14ac:dyDescent="0.25">
      <c r="A11" t="s">
        <v>6</v>
      </c>
    </row>
    <row r="12" spans="1:1" x14ac:dyDescent="0.25">
      <c r="A12" t="s">
        <v>15</v>
      </c>
    </row>
    <row r="13" spans="1:1" x14ac:dyDescent="0.25">
      <c r="A13" t="s">
        <v>12</v>
      </c>
    </row>
    <row r="14" spans="1:1" x14ac:dyDescent="0.25">
      <c r="A14" t="s">
        <v>4</v>
      </c>
    </row>
    <row r="15" spans="1:1" x14ac:dyDescent="0.25">
      <c r="A15" t="s">
        <v>17</v>
      </c>
    </row>
    <row r="16" spans="1:1" x14ac:dyDescent="0.25">
      <c r="A16" t="s">
        <v>9</v>
      </c>
    </row>
    <row r="17" spans="1:1" x14ac:dyDescent="0.25">
      <c r="A17" t="s">
        <v>74</v>
      </c>
    </row>
    <row r="18" spans="1:1" x14ac:dyDescent="0.25">
      <c r="A18" t="s">
        <v>75</v>
      </c>
    </row>
    <row r="19" spans="1:1" x14ac:dyDescent="0.25">
      <c r="A19" t="s">
        <v>62</v>
      </c>
    </row>
    <row r="20" spans="1:1" x14ac:dyDescent="0.25">
      <c r="A20" t="s">
        <v>72</v>
      </c>
    </row>
    <row r="21" spans="1:1" x14ac:dyDescent="0.25">
      <c r="A21" t="s">
        <v>76</v>
      </c>
    </row>
    <row r="22" spans="1:1" x14ac:dyDescent="0.25">
      <c r="A22" t="s">
        <v>67</v>
      </c>
    </row>
    <row r="23" spans="1:1" x14ac:dyDescent="0.25">
      <c r="A23" t="s">
        <v>70</v>
      </c>
    </row>
    <row r="24" spans="1:1" x14ac:dyDescent="0.25">
      <c r="A24" t="s">
        <v>13</v>
      </c>
    </row>
    <row r="25" spans="1:1" x14ac:dyDescent="0.25">
      <c r="A25" t="s">
        <v>73</v>
      </c>
    </row>
    <row r="26" spans="1:1" x14ac:dyDescent="0.25">
      <c r="A26" t="s">
        <v>77</v>
      </c>
    </row>
    <row r="27" spans="1:1" x14ac:dyDescent="0.25">
      <c r="A27" t="s">
        <v>78</v>
      </c>
    </row>
    <row r="28" spans="1:1" x14ac:dyDescent="0.25">
      <c r="A28" t="s">
        <v>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C6E86-EC8A-4EA5-A30B-4A7F0858E0A5}">
  <dimension ref="A1:A26"/>
  <sheetViews>
    <sheetView workbookViewId="0">
      <selection activeCell="D21" sqref="D21"/>
    </sheetView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3</v>
      </c>
    </row>
    <row r="3" spans="1:1" x14ac:dyDescent="0.25">
      <c r="A3" t="s">
        <v>80</v>
      </c>
    </row>
    <row r="4" spans="1:1" x14ac:dyDescent="0.25">
      <c r="A4" t="s">
        <v>54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74</v>
      </c>
    </row>
    <row r="8" spans="1:1" x14ac:dyDescent="0.25">
      <c r="A8" t="s">
        <v>81</v>
      </c>
    </row>
    <row r="9" spans="1:1" x14ac:dyDescent="0.25">
      <c r="A9" t="s">
        <v>14</v>
      </c>
    </row>
    <row r="10" spans="1:1" x14ac:dyDescent="0.25">
      <c r="A10" t="s">
        <v>75</v>
      </c>
    </row>
    <row r="11" spans="1:1" x14ac:dyDescent="0.25">
      <c r="A11" t="s">
        <v>4</v>
      </c>
    </row>
    <row r="12" spans="1:1" x14ac:dyDescent="0.25">
      <c r="A12" t="s">
        <v>68</v>
      </c>
    </row>
    <row r="13" spans="1:1" x14ac:dyDescent="0.25">
      <c r="A13" t="s">
        <v>17</v>
      </c>
    </row>
    <row r="14" spans="1:1" x14ac:dyDescent="0.25">
      <c r="A14" t="s">
        <v>12</v>
      </c>
    </row>
    <row r="15" spans="1:1" x14ac:dyDescent="0.25">
      <c r="A15" t="s">
        <v>82</v>
      </c>
    </row>
    <row r="16" spans="1:1" x14ac:dyDescent="0.25">
      <c r="A16" t="s">
        <v>11</v>
      </c>
    </row>
    <row r="17" spans="1:1" x14ac:dyDescent="0.25">
      <c r="A17" t="s">
        <v>6</v>
      </c>
    </row>
    <row r="18" spans="1:1" x14ac:dyDescent="0.25">
      <c r="A18" t="s">
        <v>13</v>
      </c>
    </row>
    <row r="19" spans="1:1" x14ac:dyDescent="0.25">
      <c r="A19" t="s">
        <v>72</v>
      </c>
    </row>
    <row r="20" spans="1:1" x14ac:dyDescent="0.25">
      <c r="A20" t="s">
        <v>83</v>
      </c>
    </row>
    <row r="21" spans="1:1" x14ac:dyDescent="0.25">
      <c r="A21" t="s">
        <v>2</v>
      </c>
    </row>
    <row r="22" spans="1:1" x14ac:dyDescent="0.25">
      <c r="A22" t="s">
        <v>76</v>
      </c>
    </row>
    <row r="23" spans="1:1" x14ac:dyDescent="0.25">
      <c r="A23" t="s">
        <v>84</v>
      </c>
    </row>
    <row r="24" spans="1:1" x14ac:dyDescent="0.25">
      <c r="A24" t="s">
        <v>85</v>
      </c>
    </row>
    <row r="25" spans="1:1" x14ac:dyDescent="0.25">
      <c r="A25" t="s">
        <v>78</v>
      </c>
    </row>
    <row r="26" spans="1:1" x14ac:dyDescent="0.25">
      <c r="A26" t="s">
        <v>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2EC0-9A20-4134-BF81-DC6CEEC14B92}">
  <dimension ref="A1:A23"/>
  <sheetViews>
    <sheetView workbookViewId="0"/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7</v>
      </c>
    </row>
    <row r="4" spans="1:1" x14ac:dyDescent="0.25">
      <c r="A4" t="s">
        <v>3</v>
      </c>
    </row>
    <row r="5" spans="1:1" x14ac:dyDescent="0.25">
      <c r="A5" t="s">
        <v>74</v>
      </c>
    </row>
    <row r="6" spans="1:1" x14ac:dyDescent="0.25">
      <c r="A6" t="s">
        <v>54</v>
      </c>
    </row>
    <row r="7" spans="1:1" x14ac:dyDescent="0.25">
      <c r="A7" t="s">
        <v>8</v>
      </c>
    </row>
    <row r="8" spans="1:1" x14ac:dyDescent="0.25">
      <c r="A8" t="s">
        <v>81</v>
      </c>
    </row>
    <row r="9" spans="1:1" x14ac:dyDescent="0.25">
      <c r="A9" t="s">
        <v>82</v>
      </c>
    </row>
    <row r="10" spans="1:1" x14ac:dyDescent="0.25">
      <c r="A10" t="s">
        <v>12</v>
      </c>
    </row>
    <row r="11" spans="1:1" x14ac:dyDescent="0.25">
      <c r="A11" t="s">
        <v>63</v>
      </c>
    </row>
    <row r="12" spans="1:1" x14ac:dyDescent="0.25">
      <c r="A12" t="s">
        <v>17</v>
      </c>
    </row>
    <row r="13" spans="1:1" x14ac:dyDescent="0.25">
      <c r="A13" t="s">
        <v>86</v>
      </c>
    </row>
    <row r="14" spans="1:1" x14ac:dyDescent="0.25">
      <c r="A14" t="s">
        <v>75</v>
      </c>
    </row>
    <row r="15" spans="1:1" x14ac:dyDescent="0.25">
      <c r="A15" t="s">
        <v>2</v>
      </c>
    </row>
    <row r="16" spans="1:1" x14ac:dyDescent="0.25">
      <c r="A16" t="s">
        <v>84</v>
      </c>
    </row>
    <row r="17" spans="1:1" x14ac:dyDescent="0.25">
      <c r="A17" t="s">
        <v>4</v>
      </c>
    </row>
    <row r="18" spans="1:1" x14ac:dyDescent="0.25">
      <c r="A18" t="s">
        <v>87</v>
      </c>
    </row>
    <row r="19" spans="1:1" x14ac:dyDescent="0.25">
      <c r="A19" t="s">
        <v>11</v>
      </c>
    </row>
    <row r="20" spans="1:1" x14ac:dyDescent="0.25">
      <c r="A20" t="s">
        <v>14</v>
      </c>
    </row>
    <row r="21" spans="1:1" x14ac:dyDescent="0.25">
      <c r="A21" t="s">
        <v>83</v>
      </c>
    </row>
    <row r="22" spans="1:1" x14ac:dyDescent="0.25">
      <c r="A22" t="s">
        <v>13</v>
      </c>
    </row>
    <row r="23" spans="1:1" x14ac:dyDescent="0.25">
      <c r="A23" t="s">
        <v>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B976-1DE3-4828-AFA3-C2C8CE6A8C8D}">
  <dimension ref="A1:A26"/>
  <sheetViews>
    <sheetView workbookViewId="0">
      <selection activeCell="A61" sqref="A61"/>
    </sheetView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11</v>
      </c>
    </row>
    <row r="3" spans="1:1" x14ac:dyDescent="0.25">
      <c r="A3" t="s">
        <v>82</v>
      </c>
    </row>
    <row r="4" spans="1:1" x14ac:dyDescent="0.25">
      <c r="A4" t="s">
        <v>2</v>
      </c>
    </row>
    <row r="5" spans="1:1" x14ac:dyDescent="0.25">
      <c r="A5" t="s">
        <v>17</v>
      </c>
    </row>
    <row r="6" spans="1:1" x14ac:dyDescent="0.25">
      <c r="A6" t="s">
        <v>80</v>
      </c>
    </row>
    <row r="7" spans="1:1" x14ac:dyDescent="0.25">
      <c r="A7" t="s">
        <v>3</v>
      </c>
    </row>
    <row r="8" spans="1:1" x14ac:dyDescent="0.25">
      <c r="A8" t="s">
        <v>75</v>
      </c>
    </row>
    <row r="9" spans="1:1" x14ac:dyDescent="0.25">
      <c r="A9" t="s">
        <v>12</v>
      </c>
    </row>
    <row r="10" spans="1:1" x14ac:dyDescent="0.25">
      <c r="A10" t="s">
        <v>54</v>
      </c>
    </row>
    <row r="11" spans="1:1" x14ac:dyDescent="0.25">
      <c r="A11" t="s">
        <v>63</v>
      </c>
    </row>
    <row r="12" spans="1:1" x14ac:dyDescent="0.25">
      <c r="A12" t="s">
        <v>7</v>
      </c>
    </row>
    <row r="13" spans="1:1" x14ac:dyDescent="0.25">
      <c r="A13" t="s">
        <v>81</v>
      </c>
    </row>
    <row r="14" spans="1:1" x14ac:dyDescent="0.25">
      <c r="A14" t="s">
        <v>8</v>
      </c>
    </row>
    <row r="15" spans="1:1" x14ac:dyDescent="0.25">
      <c r="A15" t="s">
        <v>74</v>
      </c>
    </row>
    <row r="16" spans="1:1" x14ac:dyDescent="0.25">
      <c r="A16" t="s">
        <v>14</v>
      </c>
    </row>
    <row r="17" spans="1:1" x14ac:dyDescent="0.25">
      <c r="A17" t="s">
        <v>88</v>
      </c>
    </row>
    <row r="18" spans="1:1" x14ac:dyDescent="0.25">
      <c r="A18" t="s">
        <v>83</v>
      </c>
    </row>
    <row r="19" spans="1:1" x14ac:dyDescent="0.25">
      <c r="A19" t="s">
        <v>89</v>
      </c>
    </row>
    <row r="20" spans="1:1" x14ac:dyDescent="0.25">
      <c r="A20" t="s">
        <v>87</v>
      </c>
    </row>
    <row r="21" spans="1:1" x14ac:dyDescent="0.25">
      <c r="A21" t="s">
        <v>84</v>
      </c>
    </row>
    <row r="22" spans="1:1" x14ac:dyDescent="0.25">
      <c r="A22" t="s">
        <v>86</v>
      </c>
    </row>
    <row r="23" spans="1:1" x14ac:dyDescent="0.25">
      <c r="A23" t="s">
        <v>72</v>
      </c>
    </row>
    <row r="24" spans="1:1" x14ac:dyDescent="0.25">
      <c r="A24" t="s">
        <v>90</v>
      </c>
    </row>
    <row r="25" spans="1:1" x14ac:dyDescent="0.25">
      <c r="A25" t="s">
        <v>91</v>
      </c>
    </row>
    <row r="26" spans="1:1" x14ac:dyDescent="0.25">
      <c r="A26" t="s">
        <v>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15434-4874-452F-8199-FC863C296E8B}">
  <dimension ref="A1:A28"/>
  <sheetViews>
    <sheetView workbookViewId="0">
      <selection activeCell="G46" sqref="G46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82</v>
      </c>
    </row>
    <row r="3" spans="1:1" x14ac:dyDescent="0.25">
      <c r="A3" t="s">
        <v>54</v>
      </c>
    </row>
    <row r="4" spans="1:1" x14ac:dyDescent="0.25">
      <c r="A4" t="s">
        <v>17</v>
      </c>
    </row>
    <row r="5" spans="1:1" x14ac:dyDescent="0.25">
      <c r="A5" t="s">
        <v>80</v>
      </c>
    </row>
    <row r="6" spans="1:1" x14ac:dyDescent="0.25">
      <c r="A6" t="s">
        <v>11</v>
      </c>
    </row>
    <row r="7" spans="1:1" x14ac:dyDescent="0.25">
      <c r="A7" t="s">
        <v>7</v>
      </c>
    </row>
    <row r="8" spans="1:1" x14ac:dyDescent="0.25">
      <c r="A8" t="s">
        <v>75</v>
      </c>
    </row>
    <row r="9" spans="1:1" x14ac:dyDescent="0.25">
      <c r="A9" t="s">
        <v>74</v>
      </c>
    </row>
    <row r="10" spans="1:1" x14ac:dyDescent="0.25">
      <c r="A10" t="s">
        <v>1</v>
      </c>
    </row>
    <row r="11" spans="1:1" x14ac:dyDescent="0.25">
      <c r="A11" t="s">
        <v>2</v>
      </c>
    </row>
    <row r="12" spans="1:1" x14ac:dyDescent="0.25">
      <c r="A12" t="s">
        <v>83</v>
      </c>
    </row>
    <row r="13" spans="1:1" x14ac:dyDescent="0.25">
      <c r="A13" t="s">
        <v>89</v>
      </c>
    </row>
    <row r="14" spans="1:1" x14ac:dyDescent="0.25">
      <c r="A14" t="s">
        <v>93</v>
      </c>
    </row>
    <row r="15" spans="1:1" x14ac:dyDescent="0.25">
      <c r="A15" t="s">
        <v>94</v>
      </c>
    </row>
    <row r="16" spans="1:1" x14ac:dyDescent="0.25">
      <c r="A16" t="s">
        <v>72</v>
      </c>
    </row>
    <row r="17" spans="1:1" x14ac:dyDescent="0.25">
      <c r="A17" t="s">
        <v>88</v>
      </c>
    </row>
    <row r="18" spans="1:1" x14ac:dyDescent="0.25">
      <c r="A18" t="s">
        <v>15</v>
      </c>
    </row>
    <row r="19" spans="1:1" x14ac:dyDescent="0.25">
      <c r="A19" t="s">
        <v>8</v>
      </c>
    </row>
    <row r="20" spans="1:1" x14ac:dyDescent="0.25">
      <c r="A20" t="s">
        <v>91</v>
      </c>
    </row>
    <row r="21" spans="1:1" x14ac:dyDescent="0.25">
      <c r="A21" t="s">
        <v>81</v>
      </c>
    </row>
    <row r="22" spans="1:1" x14ac:dyDescent="0.25">
      <c r="A22" t="s">
        <v>12</v>
      </c>
    </row>
    <row r="23" spans="1:1" x14ac:dyDescent="0.25">
      <c r="A23" t="s">
        <v>95</v>
      </c>
    </row>
    <row r="24" spans="1:1" x14ac:dyDescent="0.25">
      <c r="A24" t="s">
        <v>96</v>
      </c>
    </row>
    <row r="25" spans="1:1" x14ac:dyDescent="0.25">
      <c r="A25" t="s">
        <v>97</v>
      </c>
    </row>
    <row r="26" spans="1:1" x14ac:dyDescent="0.25">
      <c r="A26" t="s">
        <v>63</v>
      </c>
    </row>
    <row r="27" spans="1:1" x14ac:dyDescent="0.25">
      <c r="A27" t="s">
        <v>78</v>
      </c>
    </row>
    <row r="28" spans="1:1" x14ac:dyDescent="0.25">
      <c r="A28" t="s">
        <v>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1F07-E9BC-4825-9AA7-DCA2D6A9E9B8}">
  <dimension ref="A1:A29"/>
  <sheetViews>
    <sheetView workbookViewId="0">
      <selection activeCell="H77" sqref="H77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82</v>
      </c>
    </row>
    <row r="3" spans="1:1" x14ac:dyDescent="0.25">
      <c r="A3" t="s">
        <v>11</v>
      </c>
    </row>
    <row r="4" spans="1:1" x14ac:dyDescent="0.25">
      <c r="A4" t="s">
        <v>17</v>
      </c>
    </row>
    <row r="5" spans="1:1" x14ac:dyDescent="0.25">
      <c r="A5" t="s">
        <v>54</v>
      </c>
    </row>
    <row r="6" spans="1:1" x14ac:dyDescent="0.25">
      <c r="A6" t="s">
        <v>80</v>
      </c>
    </row>
    <row r="7" spans="1:1" x14ac:dyDescent="0.25">
      <c r="A7" t="s">
        <v>7</v>
      </c>
    </row>
    <row r="8" spans="1:1" x14ac:dyDescent="0.25">
      <c r="A8" t="s">
        <v>75</v>
      </c>
    </row>
    <row r="9" spans="1:1" x14ac:dyDescent="0.25">
      <c r="A9" t="s">
        <v>1</v>
      </c>
    </row>
    <row r="10" spans="1:1" x14ac:dyDescent="0.25">
      <c r="A10" t="s">
        <v>83</v>
      </c>
    </row>
    <row r="11" spans="1:1" x14ac:dyDescent="0.25">
      <c r="A11" t="s">
        <v>93</v>
      </c>
    </row>
    <row r="12" spans="1:1" x14ac:dyDescent="0.25">
      <c r="A12" t="s">
        <v>8</v>
      </c>
    </row>
    <row r="13" spans="1:1" x14ac:dyDescent="0.25">
      <c r="A13" t="s">
        <v>89</v>
      </c>
    </row>
    <row r="14" spans="1:1" x14ac:dyDescent="0.25">
      <c r="A14" t="s">
        <v>98</v>
      </c>
    </row>
    <row r="15" spans="1:1" x14ac:dyDescent="0.25">
      <c r="A15" t="s">
        <v>91</v>
      </c>
    </row>
    <row r="16" spans="1:1" x14ac:dyDescent="0.25">
      <c r="A16" t="s">
        <v>88</v>
      </c>
    </row>
    <row r="17" spans="1:1" x14ac:dyDescent="0.25">
      <c r="A17" t="s">
        <v>99</v>
      </c>
    </row>
    <row r="18" spans="1:1" x14ac:dyDescent="0.25">
      <c r="A18" t="s">
        <v>2</v>
      </c>
    </row>
    <row r="19" spans="1:1" x14ac:dyDescent="0.25">
      <c r="A19" t="s">
        <v>96</v>
      </c>
    </row>
    <row r="20" spans="1:1" x14ac:dyDescent="0.25">
      <c r="A20" t="s">
        <v>100</v>
      </c>
    </row>
    <row r="21" spans="1:1" x14ac:dyDescent="0.25">
      <c r="A21" t="s">
        <v>15</v>
      </c>
    </row>
    <row r="22" spans="1:1" x14ac:dyDescent="0.25">
      <c r="A22" t="s">
        <v>12</v>
      </c>
    </row>
    <row r="23" spans="1:1" x14ac:dyDescent="0.25">
      <c r="A23" t="s">
        <v>81</v>
      </c>
    </row>
    <row r="24" spans="1:1" x14ac:dyDescent="0.25">
      <c r="A24" t="s">
        <v>72</v>
      </c>
    </row>
    <row r="25" spans="1:1" x14ac:dyDescent="0.25">
      <c r="A25" t="s">
        <v>101</v>
      </c>
    </row>
    <row r="26" spans="1:1" x14ac:dyDescent="0.25">
      <c r="A26" t="s">
        <v>63</v>
      </c>
    </row>
    <row r="27" spans="1:1" x14ac:dyDescent="0.25">
      <c r="A27" t="s">
        <v>69</v>
      </c>
    </row>
    <row r="28" spans="1:1" x14ac:dyDescent="0.25">
      <c r="A28" t="s">
        <v>102</v>
      </c>
    </row>
    <row r="29" spans="1:1" x14ac:dyDescent="0.25">
      <c r="A29" t="s">
        <v>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86059-0F40-42A6-AE6A-E4A8243B3C21}">
  <dimension ref="A1:A26"/>
  <sheetViews>
    <sheetView workbookViewId="0">
      <selection activeCell="A26" sqref="A2:A26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82</v>
      </c>
    </row>
    <row r="3" spans="1:1" x14ac:dyDescent="0.25">
      <c r="A3" t="s">
        <v>54</v>
      </c>
    </row>
    <row r="4" spans="1:1" x14ac:dyDescent="0.25">
      <c r="A4" t="s">
        <v>3</v>
      </c>
    </row>
    <row r="5" spans="1:1" x14ac:dyDescent="0.25">
      <c r="A5" t="s">
        <v>80</v>
      </c>
    </row>
    <row r="6" spans="1:1" x14ac:dyDescent="0.25">
      <c r="A6" t="s">
        <v>11</v>
      </c>
    </row>
    <row r="7" spans="1:1" x14ac:dyDescent="0.25">
      <c r="A7" t="s">
        <v>17</v>
      </c>
    </row>
    <row r="8" spans="1:1" x14ac:dyDescent="0.25">
      <c r="A8" t="s">
        <v>7</v>
      </c>
    </row>
    <row r="9" spans="1:1" x14ac:dyDescent="0.25">
      <c r="A9" t="s">
        <v>90</v>
      </c>
    </row>
    <row r="10" spans="1:1" x14ac:dyDescent="0.25">
      <c r="A10" t="s">
        <v>75</v>
      </c>
    </row>
    <row r="11" spans="1:1" x14ac:dyDescent="0.25">
      <c r="A11" t="s">
        <v>99</v>
      </c>
    </row>
    <row r="12" spans="1:1" x14ac:dyDescent="0.25">
      <c r="A12" t="s">
        <v>94</v>
      </c>
    </row>
    <row r="13" spans="1:1" x14ac:dyDescent="0.25">
      <c r="A13" t="s">
        <v>89</v>
      </c>
    </row>
    <row r="14" spans="1:1" x14ac:dyDescent="0.25">
      <c r="A14" t="s">
        <v>1</v>
      </c>
    </row>
    <row r="15" spans="1:1" x14ac:dyDescent="0.25">
      <c r="A15" t="s">
        <v>98</v>
      </c>
    </row>
    <row r="16" spans="1:1" x14ac:dyDescent="0.25">
      <c r="A16" t="s">
        <v>100</v>
      </c>
    </row>
    <row r="17" spans="1:1" x14ac:dyDescent="0.25">
      <c r="A17" t="s">
        <v>96</v>
      </c>
    </row>
    <row r="18" spans="1:1" x14ac:dyDescent="0.25">
      <c r="A18" t="s">
        <v>103</v>
      </c>
    </row>
    <row r="19" spans="1:1" x14ac:dyDescent="0.25">
      <c r="A19" t="s">
        <v>102</v>
      </c>
    </row>
    <row r="20" spans="1:1" x14ac:dyDescent="0.25">
      <c r="A20" t="s">
        <v>93</v>
      </c>
    </row>
    <row r="21" spans="1:1" x14ac:dyDescent="0.25">
      <c r="A21" t="s">
        <v>63</v>
      </c>
    </row>
    <row r="22" spans="1:1" x14ac:dyDescent="0.25">
      <c r="A22" t="s">
        <v>104</v>
      </c>
    </row>
    <row r="23" spans="1:1" x14ac:dyDescent="0.25">
      <c r="A23" t="s">
        <v>81</v>
      </c>
    </row>
    <row r="24" spans="1:1" x14ac:dyDescent="0.25">
      <c r="A24" t="s">
        <v>101</v>
      </c>
    </row>
    <row r="25" spans="1:1" x14ac:dyDescent="0.25">
      <c r="A25" t="s">
        <v>69</v>
      </c>
    </row>
    <row r="26" spans="1:1" x14ac:dyDescent="0.25">
      <c r="A26" t="s">
        <v>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EF67-0DDF-4C73-BB7C-135261ED3818}">
  <dimension ref="A1:A24"/>
  <sheetViews>
    <sheetView workbookViewId="0">
      <selection activeCell="A2" sqref="A2:A24"/>
    </sheetView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82</v>
      </c>
    </row>
    <row r="3" spans="1:1" x14ac:dyDescent="0.25">
      <c r="A3" t="s">
        <v>54</v>
      </c>
    </row>
    <row r="4" spans="1:1" x14ac:dyDescent="0.25">
      <c r="A4" t="s">
        <v>17</v>
      </c>
    </row>
    <row r="5" spans="1:1" x14ac:dyDescent="0.25">
      <c r="A5" t="s">
        <v>80</v>
      </c>
    </row>
    <row r="6" spans="1:1" x14ac:dyDescent="0.25">
      <c r="A6" t="s">
        <v>3</v>
      </c>
    </row>
    <row r="7" spans="1:1" x14ac:dyDescent="0.25">
      <c r="A7" t="s">
        <v>75</v>
      </c>
    </row>
    <row r="8" spans="1:1" x14ac:dyDescent="0.25">
      <c r="A8" t="s">
        <v>90</v>
      </c>
    </row>
    <row r="9" spans="1:1" x14ac:dyDescent="0.25">
      <c r="A9" t="s">
        <v>7</v>
      </c>
    </row>
    <row r="10" spans="1:1" x14ac:dyDescent="0.25">
      <c r="A10" t="s">
        <v>11</v>
      </c>
    </row>
    <row r="11" spans="1:1" x14ac:dyDescent="0.25">
      <c r="A11" t="s">
        <v>94</v>
      </c>
    </row>
    <row r="12" spans="1:1" x14ac:dyDescent="0.25">
      <c r="A12" t="s">
        <v>99</v>
      </c>
    </row>
    <row r="13" spans="1:1" x14ac:dyDescent="0.25">
      <c r="A13" t="s">
        <v>98</v>
      </c>
    </row>
    <row r="14" spans="1:1" x14ac:dyDescent="0.25">
      <c r="A14" t="s">
        <v>83</v>
      </c>
    </row>
    <row r="15" spans="1:1" x14ac:dyDescent="0.25">
      <c r="A15" t="s">
        <v>102</v>
      </c>
    </row>
    <row r="16" spans="1:1" x14ac:dyDescent="0.25">
      <c r="A16" t="s">
        <v>103</v>
      </c>
    </row>
    <row r="17" spans="1:1" x14ac:dyDescent="0.25">
      <c r="A17" t="s">
        <v>105</v>
      </c>
    </row>
    <row r="18" spans="1:1" x14ac:dyDescent="0.25">
      <c r="A18" t="s">
        <v>106</v>
      </c>
    </row>
    <row r="19" spans="1:1" x14ac:dyDescent="0.25">
      <c r="A19" t="s">
        <v>100</v>
      </c>
    </row>
    <row r="20" spans="1:1" x14ac:dyDescent="0.25">
      <c r="A20" t="s">
        <v>107</v>
      </c>
    </row>
    <row r="21" spans="1:1" x14ac:dyDescent="0.25">
      <c r="A21" t="s">
        <v>104</v>
      </c>
    </row>
    <row r="22" spans="1:1" x14ac:dyDescent="0.25">
      <c r="A22" t="s">
        <v>81</v>
      </c>
    </row>
    <row r="23" spans="1:1" x14ac:dyDescent="0.25">
      <c r="A23" t="s">
        <v>108</v>
      </c>
    </row>
    <row r="24" spans="1:1" x14ac:dyDescent="0.25">
      <c r="A24" t="s">
        <v>109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5EA9-09C8-45DF-9887-5028388B0199}">
  <dimension ref="A1:A24"/>
  <sheetViews>
    <sheetView workbookViewId="0">
      <selection activeCell="A2" sqref="A2:A24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75</v>
      </c>
    </row>
    <row r="4" spans="1:1" x14ac:dyDescent="0.25">
      <c r="A4" t="s">
        <v>102</v>
      </c>
    </row>
    <row r="5" spans="1:1" x14ac:dyDescent="0.25">
      <c r="A5" t="s">
        <v>106</v>
      </c>
    </row>
    <row r="6" spans="1:1" x14ac:dyDescent="0.25">
      <c r="A6" t="s">
        <v>82</v>
      </c>
    </row>
    <row r="7" spans="1:1" x14ac:dyDescent="0.25">
      <c r="A7" t="s">
        <v>54</v>
      </c>
    </row>
    <row r="8" spans="1:1" x14ac:dyDescent="0.25">
      <c r="A8" t="s">
        <v>7</v>
      </c>
    </row>
    <row r="9" spans="1:1" x14ac:dyDescent="0.25">
      <c r="A9" t="s">
        <v>11</v>
      </c>
    </row>
    <row r="10" spans="1:1" x14ac:dyDescent="0.25">
      <c r="A10" t="s">
        <v>94</v>
      </c>
    </row>
    <row r="11" spans="1:1" x14ac:dyDescent="0.25">
      <c r="A11" t="s">
        <v>99</v>
      </c>
    </row>
    <row r="12" spans="1:1" x14ac:dyDescent="0.25">
      <c r="A12" t="s">
        <v>110</v>
      </c>
    </row>
    <row r="13" spans="1:1" x14ac:dyDescent="0.25">
      <c r="A13" t="s">
        <v>3</v>
      </c>
    </row>
    <row r="14" spans="1:1" x14ac:dyDescent="0.25">
      <c r="A14" t="s">
        <v>103</v>
      </c>
    </row>
    <row r="15" spans="1:1" x14ac:dyDescent="0.25">
      <c r="A15" t="s">
        <v>90</v>
      </c>
    </row>
    <row r="16" spans="1:1" x14ac:dyDescent="0.25">
      <c r="A16" t="s">
        <v>111</v>
      </c>
    </row>
    <row r="17" spans="1:1" x14ac:dyDescent="0.25">
      <c r="A17" t="s">
        <v>100</v>
      </c>
    </row>
    <row r="18" spans="1:1" x14ac:dyDescent="0.25">
      <c r="A18" t="s">
        <v>107</v>
      </c>
    </row>
    <row r="19" spans="1:1" x14ac:dyDescent="0.25">
      <c r="A19" t="s">
        <v>83</v>
      </c>
    </row>
    <row r="20" spans="1:1" x14ac:dyDescent="0.25">
      <c r="A20" t="s">
        <v>112</v>
      </c>
    </row>
    <row r="21" spans="1:1" x14ac:dyDescent="0.25">
      <c r="A21" t="s">
        <v>105</v>
      </c>
    </row>
    <row r="22" spans="1:1" x14ac:dyDescent="0.25">
      <c r="A22" t="s">
        <v>109</v>
      </c>
    </row>
    <row r="23" spans="1:1" x14ac:dyDescent="0.25">
      <c r="A23" t="s">
        <v>89</v>
      </c>
    </row>
    <row r="24" spans="1:1" x14ac:dyDescent="0.25">
      <c r="A24" t="s">
        <v>113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F14C-4266-4398-862F-517EC6F2BF68}">
  <dimension ref="A1:A22"/>
  <sheetViews>
    <sheetView workbookViewId="0">
      <selection activeCell="A2" sqref="A2:A22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75</v>
      </c>
    </row>
    <row r="4" spans="1:1" x14ac:dyDescent="0.25">
      <c r="A4" t="s">
        <v>82</v>
      </c>
    </row>
    <row r="5" spans="1:1" x14ac:dyDescent="0.25">
      <c r="A5" t="s">
        <v>3</v>
      </c>
    </row>
    <row r="6" spans="1:1" x14ac:dyDescent="0.25">
      <c r="A6" t="s">
        <v>106</v>
      </c>
    </row>
    <row r="7" spans="1:1" x14ac:dyDescent="0.25">
      <c r="A7" t="s">
        <v>7</v>
      </c>
    </row>
    <row r="8" spans="1:1" x14ac:dyDescent="0.25">
      <c r="A8" t="s">
        <v>111</v>
      </c>
    </row>
    <row r="9" spans="1:1" x14ac:dyDescent="0.25">
      <c r="A9" t="s">
        <v>102</v>
      </c>
    </row>
    <row r="10" spans="1:1" x14ac:dyDescent="0.25">
      <c r="A10" t="s">
        <v>99</v>
      </c>
    </row>
    <row r="11" spans="1:1" x14ac:dyDescent="0.25">
      <c r="A11" t="s">
        <v>94</v>
      </c>
    </row>
    <row r="12" spans="1:1" x14ac:dyDescent="0.25">
      <c r="A12" t="s">
        <v>90</v>
      </c>
    </row>
    <row r="13" spans="1:1" x14ac:dyDescent="0.25">
      <c r="A13" t="s">
        <v>114</v>
      </c>
    </row>
    <row r="14" spans="1:1" x14ac:dyDescent="0.25">
      <c r="A14" t="s">
        <v>115</v>
      </c>
    </row>
    <row r="15" spans="1:1" x14ac:dyDescent="0.25">
      <c r="A15" t="s">
        <v>100</v>
      </c>
    </row>
    <row r="16" spans="1:1" x14ac:dyDescent="0.25">
      <c r="A16" t="s">
        <v>116</v>
      </c>
    </row>
    <row r="17" spans="1:1" x14ac:dyDescent="0.25">
      <c r="A17" t="s">
        <v>11</v>
      </c>
    </row>
    <row r="18" spans="1:1" x14ac:dyDescent="0.25">
      <c r="A18" t="s">
        <v>54</v>
      </c>
    </row>
    <row r="19" spans="1:1" x14ac:dyDescent="0.25">
      <c r="A19" t="s">
        <v>112</v>
      </c>
    </row>
    <row r="20" spans="1:1" x14ac:dyDescent="0.25">
      <c r="A20" t="s">
        <v>117</v>
      </c>
    </row>
    <row r="21" spans="1:1" x14ac:dyDescent="0.25">
      <c r="A21" t="s">
        <v>118</v>
      </c>
    </row>
    <row r="22" spans="1:1" x14ac:dyDescent="0.25">
      <c r="A22" t="s">
        <v>113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1B27-A4FF-4FDB-A545-8BEAAEB98497}">
  <dimension ref="A1:A25"/>
  <sheetViews>
    <sheetView workbookViewId="0">
      <selection activeCell="A2" sqref="A2:A25"/>
    </sheetView>
  </sheetViews>
  <sheetFormatPr defaultRowHeight="15" x14ac:dyDescent="0.25"/>
  <cols>
    <col min="1" max="1" width="16.42578125" bestFit="1" customWidth="1"/>
  </cols>
  <sheetData>
    <row r="1" spans="1:1" x14ac:dyDescent="0.25">
      <c r="A1" t="s">
        <v>0</v>
      </c>
    </row>
    <row r="2" spans="1:1" x14ac:dyDescent="0.25">
      <c r="A2" t="s">
        <v>75</v>
      </c>
    </row>
    <row r="3" spans="1:1" x14ac:dyDescent="0.25">
      <c r="A3" t="s">
        <v>80</v>
      </c>
    </row>
    <row r="4" spans="1:1" x14ac:dyDescent="0.25">
      <c r="A4" t="s">
        <v>102</v>
      </c>
    </row>
    <row r="5" spans="1:1" x14ac:dyDescent="0.25">
      <c r="A5" t="s">
        <v>82</v>
      </c>
    </row>
    <row r="6" spans="1:1" x14ac:dyDescent="0.25">
      <c r="A6" t="s">
        <v>114</v>
      </c>
    </row>
    <row r="7" spans="1:1" x14ac:dyDescent="0.25">
      <c r="A7" t="s">
        <v>3</v>
      </c>
    </row>
    <row r="8" spans="1:1" x14ac:dyDescent="0.25">
      <c r="A8" t="s">
        <v>99</v>
      </c>
    </row>
    <row r="9" spans="1:1" x14ac:dyDescent="0.25">
      <c r="A9" t="s">
        <v>106</v>
      </c>
    </row>
    <row r="10" spans="1:1" x14ac:dyDescent="0.25">
      <c r="A10" t="s">
        <v>94</v>
      </c>
    </row>
    <row r="11" spans="1:1" x14ac:dyDescent="0.25">
      <c r="A11" t="s">
        <v>54</v>
      </c>
    </row>
    <row r="12" spans="1:1" x14ac:dyDescent="0.25">
      <c r="A12" t="s">
        <v>7</v>
      </c>
    </row>
    <row r="13" spans="1:1" x14ac:dyDescent="0.25">
      <c r="A13" t="s">
        <v>116</v>
      </c>
    </row>
    <row r="14" spans="1:1" x14ac:dyDescent="0.25">
      <c r="A14" t="s">
        <v>90</v>
      </c>
    </row>
    <row r="15" spans="1:1" x14ac:dyDescent="0.25">
      <c r="A15" t="s">
        <v>111</v>
      </c>
    </row>
    <row r="16" spans="1:1" x14ac:dyDescent="0.25">
      <c r="A16" t="s">
        <v>11</v>
      </c>
    </row>
    <row r="17" spans="1:1" x14ac:dyDescent="0.25">
      <c r="A17" t="s">
        <v>110</v>
      </c>
    </row>
    <row r="18" spans="1:1" x14ac:dyDescent="0.25">
      <c r="A18" t="s">
        <v>115</v>
      </c>
    </row>
    <row r="19" spans="1:1" x14ac:dyDescent="0.25">
      <c r="A19" t="s">
        <v>119</v>
      </c>
    </row>
    <row r="20" spans="1:1" x14ac:dyDescent="0.25">
      <c r="A20" t="s">
        <v>120</v>
      </c>
    </row>
    <row r="21" spans="1:1" x14ac:dyDescent="0.25">
      <c r="A21" t="s">
        <v>121</v>
      </c>
    </row>
    <row r="22" spans="1:1" x14ac:dyDescent="0.25">
      <c r="A22" t="s">
        <v>105</v>
      </c>
    </row>
    <row r="23" spans="1:1" x14ac:dyDescent="0.25">
      <c r="A23" t="s">
        <v>112</v>
      </c>
    </row>
    <row r="24" spans="1:1" x14ac:dyDescent="0.25">
      <c r="A24" t="s">
        <v>122</v>
      </c>
    </row>
    <row r="25" spans="1:1" x14ac:dyDescent="0.25">
      <c r="A25" t="s">
        <v>123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B59A-B1BE-4472-A7E7-70223D1707FA}">
  <dimension ref="A1:A24"/>
  <sheetViews>
    <sheetView workbookViewId="0">
      <selection activeCell="A2" sqref="A2:A24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82</v>
      </c>
    </row>
    <row r="4" spans="1:1" x14ac:dyDescent="0.25">
      <c r="A4" t="s">
        <v>106</v>
      </c>
    </row>
    <row r="5" spans="1:1" x14ac:dyDescent="0.25">
      <c r="A5" t="s">
        <v>3</v>
      </c>
    </row>
    <row r="6" spans="1:1" x14ac:dyDescent="0.25">
      <c r="A6" t="s">
        <v>102</v>
      </c>
    </row>
    <row r="7" spans="1:1" x14ac:dyDescent="0.25">
      <c r="A7" t="s">
        <v>114</v>
      </c>
    </row>
    <row r="8" spans="1:1" x14ac:dyDescent="0.25">
      <c r="A8" t="s">
        <v>99</v>
      </c>
    </row>
    <row r="9" spans="1:1" x14ac:dyDescent="0.25">
      <c r="A9" t="s">
        <v>122</v>
      </c>
    </row>
    <row r="10" spans="1:1" x14ac:dyDescent="0.25">
      <c r="A10" t="s">
        <v>116</v>
      </c>
    </row>
    <row r="11" spans="1:1" x14ac:dyDescent="0.25">
      <c r="A11" t="s">
        <v>94</v>
      </c>
    </row>
    <row r="12" spans="1:1" x14ac:dyDescent="0.25">
      <c r="A12" t="s">
        <v>7</v>
      </c>
    </row>
    <row r="13" spans="1:1" x14ac:dyDescent="0.25">
      <c r="A13" t="s">
        <v>124</v>
      </c>
    </row>
    <row r="14" spans="1:1" x14ac:dyDescent="0.25">
      <c r="A14" t="s">
        <v>90</v>
      </c>
    </row>
    <row r="15" spans="1:1" x14ac:dyDescent="0.25">
      <c r="A15" t="s">
        <v>110</v>
      </c>
    </row>
    <row r="16" spans="1:1" x14ac:dyDescent="0.25">
      <c r="A16" t="s">
        <v>54</v>
      </c>
    </row>
    <row r="17" spans="1:1" x14ac:dyDescent="0.25">
      <c r="A17" t="s">
        <v>121</v>
      </c>
    </row>
    <row r="18" spans="1:1" x14ac:dyDescent="0.25">
      <c r="A18" t="s">
        <v>119</v>
      </c>
    </row>
    <row r="19" spans="1:1" x14ac:dyDescent="0.25">
      <c r="A19" t="s">
        <v>120</v>
      </c>
    </row>
    <row r="20" spans="1:1" x14ac:dyDescent="0.25">
      <c r="A20" t="s">
        <v>111</v>
      </c>
    </row>
    <row r="21" spans="1:1" x14ac:dyDescent="0.25">
      <c r="A21" t="s">
        <v>112</v>
      </c>
    </row>
    <row r="22" spans="1:1" x14ac:dyDescent="0.25">
      <c r="A22" t="s">
        <v>125</v>
      </c>
    </row>
    <row r="23" spans="1:1" x14ac:dyDescent="0.25">
      <c r="A23" t="s">
        <v>126</v>
      </c>
    </row>
    <row r="24" spans="1:1" x14ac:dyDescent="0.25">
      <c r="A24" t="s">
        <v>127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2A74-DE9C-4BEE-9BC5-F661CBB67E18}">
  <dimension ref="A1:A21"/>
  <sheetViews>
    <sheetView workbookViewId="0">
      <selection activeCell="H41" sqref="H41"/>
    </sheetView>
  </sheetViews>
  <sheetFormatPr defaultRowHeight="15" x14ac:dyDescent="0.25"/>
  <cols>
    <col min="1" max="1" width="16.42578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82</v>
      </c>
    </row>
    <row r="4" spans="1:1" x14ac:dyDescent="0.25">
      <c r="A4" t="s">
        <v>3</v>
      </c>
    </row>
    <row r="5" spans="1:1" x14ac:dyDescent="0.25">
      <c r="A5" t="s">
        <v>114</v>
      </c>
    </row>
    <row r="6" spans="1:1" x14ac:dyDescent="0.25">
      <c r="A6" t="s">
        <v>106</v>
      </c>
    </row>
    <row r="7" spans="1:1" x14ac:dyDescent="0.25">
      <c r="A7" t="s">
        <v>102</v>
      </c>
    </row>
    <row r="8" spans="1:1" x14ac:dyDescent="0.25">
      <c r="A8" t="s">
        <v>94</v>
      </c>
    </row>
    <row r="9" spans="1:1" x14ac:dyDescent="0.25">
      <c r="A9" t="s">
        <v>99</v>
      </c>
    </row>
    <row r="10" spans="1:1" x14ac:dyDescent="0.25">
      <c r="A10" t="s">
        <v>110</v>
      </c>
    </row>
    <row r="11" spans="1:1" x14ac:dyDescent="0.25">
      <c r="A11" t="s">
        <v>116</v>
      </c>
    </row>
    <row r="12" spans="1:1" x14ac:dyDescent="0.25">
      <c r="A12" t="s">
        <v>54</v>
      </c>
    </row>
    <row r="13" spans="1:1" x14ac:dyDescent="0.25">
      <c r="A13" t="s">
        <v>122</v>
      </c>
    </row>
    <row r="14" spans="1:1" x14ac:dyDescent="0.25">
      <c r="A14" t="s">
        <v>128</v>
      </c>
    </row>
    <row r="15" spans="1:1" x14ac:dyDescent="0.25">
      <c r="A15" t="s">
        <v>90</v>
      </c>
    </row>
    <row r="16" spans="1:1" x14ac:dyDescent="0.25">
      <c r="A16" t="s">
        <v>125</v>
      </c>
    </row>
    <row r="17" spans="1:1" x14ac:dyDescent="0.25">
      <c r="A17" t="s">
        <v>121</v>
      </c>
    </row>
    <row r="18" spans="1:1" x14ac:dyDescent="0.25">
      <c r="A18" t="s">
        <v>112</v>
      </c>
    </row>
    <row r="19" spans="1:1" x14ac:dyDescent="0.25">
      <c r="A19" t="s">
        <v>124</v>
      </c>
    </row>
    <row r="20" spans="1:1" x14ac:dyDescent="0.25">
      <c r="A20" t="s">
        <v>127</v>
      </c>
    </row>
    <row r="21" spans="1:1" x14ac:dyDescent="0.25">
      <c r="A21" t="s">
        <v>129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89E6-064E-4CAF-91E1-B8698E14C23C}">
  <dimension ref="A1:A21"/>
  <sheetViews>
    <sheetView workbookViewId="0">
      <selection activeCell="C36" sqref="C36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106</v>
      </c>
    </row>
    <row r="4" spans="1:1" x14ac:dyDescent="0.25">
      <c r="A4" t="s">
        <v>114</v>
      </c>
    </row>
    <row r="5" spans="1:1" x14ac:dyDescent="0.25">
      <c r="A5" t="s">
        <v>128</v>
      </c>
    </row>
    <row r="6" spans="1:1" x14ac:dyDescent="0.25">
      <c r="A6" t="s">
        <v>82</v>
      </c>
    </row>
    <row r="7" spans="1:1" x14ac:dyDescent="0.25">
      <c r="A7" t="s">
        <v>116</v>
      </c>
    </row>
    <row r="8" spans="1:1" x14ac:dyDescent="0.25">
      <c r="A8" t="s">
        <v>125</v>
      </c>
    </row>
    <row r="9" spans="1:1" x14ac:dyDescent="0.25">
      <c r="A9" t="s">
        <v>130</v>
      </c>
    </row>
    <row r="10" spans="1:1" x14ac:dyDescent="0.25">
      <c r="A10" t="s">
        <v>102</v>
      </c>
    </row>
    <row r="11" spans="1:1" x14ac:dyDescent="0.25">
      <c r="A11" t="s">
        <v>99</v>
      </c>
    </row>
    <row r="12" spans="1:1" x14ac:dyDescent="0.25">
      <c r="A12" t="s">
        <v>131</v>
      </c>
    </row>
    <row r="13" spans="1:1" x14ac:dyDescent="0.25">
      <c r="A13" t="s">
        <v>3</v>
      </c>
    </row>
    <row r="14" spans="1:1" x14ac:dyDescent="0.25">
      <c r="A14" t="s">
        <v>111</v>
      </c>
    </row>
    <row r="15" spans="1:1" x14ac:dyDescent="0.25">
      <c r="A15" t="s">
        <v>94</v>
      </c>
    </row>
    <row r="16" spans="1:1" x14ac:dyDescent="0.25">
      <c r="A16" t="s">
        <v>124</v>
      </c>
    </row>
    <row r="17" spans="1:1" x14ac:dyDescent="0.25">
      <c r="A17" t="s">
        <v>110</v>
      </c>
    </row>
    <row r="18" spans="1:1" x14ac:dyDescent="0.25">
      <c r="A18" t="s">
        <v>126</v>
      </c>
    </row>
    <row r="19" spans="1:1" x14ac:dyDescent="0.25">
      <c r="A19" t="s">
        <v>90</v>
      </c>
    </row>
    <row r="20" spans="1:1" x14ac:dyDescent="0.25">
      <c r="A20" t="s">
        <v>74</v>
      </c>
    </row>
    <row r="21" spans="1:1" x14ac:dyDescent="0.25">
      <c r="A21" t="s">
        <v>132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3BE8-494B-4549-A27B-0B0C0DC916B8}">
  <dimension ref="A1:A24"/>
  <sheetViews>
    <sheetView workbookViewId="0">
      <selection activeCell="E53" sqref="E53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106</v>
      </c>
    </row>
    <row r="4" spans="1:1" x14ac:dyDescent="0.25">
      <c r="A4" t="s">
        <v>114</v>
      </c>
    </row>
    <row r="5" spans="1:1" x14ac:dyDescent="0.25">
      <c r="A5" t="s">
        <v>99</v>
      </c>
    </row>
    <row r="6" spans="1:1" x14ac:dyDescent="0.25">
      <c r="A6" t="s">
        <v>102</v>
      </c>
    </row>
    <row r="7" spans="1:1" x14ac:dyDescent="0.25">
      <c r="A7" t="s">
        <v>116</v>
      </c>
    </row>
    <row r="8" spans="1:1" x14ac:dyDescent="0.25">
      <c r="A8" t="s">
        <v>130</v>
      </c>
    </row>
    <row r="9" spans="1:1" x14ac:dyDescent="0.25">
      <c r="A9" t="s">
        <v>128</v>
      </c>
    </row>
    <row r="10" spans="1:1" x14ac:dyDescent="0.25">
      <c r="A10" t="s">
        <v>131</v>
      </c>
    </row>
    <row r="11" spans="1:1" x14ac:dyDescent="0.25">
      <c r="A11" t="s">
        <v>125</v>
      </c>
    </row>
    <row r="12" spans="1:1" x14ac:dyDescent="0.25">
      <c r="A12" t="s">
        <v>124</v>
      </c>
    </row>
    <row r="13" spans="1:1" x14ac:dyDescent="0.25">
      <c r="A13" t="s">
        <v>122</v>
      </c>
    </row>
    <row r="14" spans="1:1" x14ac:dyDescent="0.25">
      <c r="A14" t="s">
        <v>82</v>
      </c>
    </row>
    <row r="15" spans="1:1" x14ac:dyDescent="0.25">
      <c r="A15" t="s">
        <v>111</v>
      </c>
    </row>
    <row r="16" spans="1:1" x14ac:dyDescent="0.25">
      <c r="A16" t="s">
        <v>94</v>
      </c>
    </row>
    <row r="17" spans="1:1" x14ac:dyDescent="0.25">
      <c r="A17" t="s">
        <v>3</v>
      </c>
    </row>
    <row r="18" spans="1:1" x14ac:dyDescent="0.25">
      <c r="A18" t="s">
        <v>126</v>
      </c>
    </row>
    <row r="19" spans="1:1" x14ac:dyDescent="0.25">
      <c r="A19" t="s">
        <v>132</v>
      </c>
    </row>
    <row r="20" spans="1:1" x14ac:dyDescent="0.25">
      <c r="A20" t="s">
        <v>90</v>
      </c>
    </row>
    <row r="21" spans="1:1" x14ac:dyDescent="0.25">
      <c r="A21" t="s">
        <v>110</v>
      </c>
    </row>
    <row r="22" spans="1:1" x14ac:dyDescent="0.25">
      <c r="A22" t="s">
        <v>133</v>
      </c>
    </row>
    <row r="23" spans="1:1" x14ac:dyDescent="0.25">
      <c r="A23" t="s">
        <v>134</v>
      </c>
    </row>
    <row r="24" spans="1:1" x14ac:dyDescent="0.25">
      <c r="A24" t="s">
        <v>135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6E7E-7CC5-4FC4-AA7B-870479195203}">
  <dimension ref="A1:A22"/>
  <sheetViews>
    <sheetView workbookViewId="0">
      <selection activeCell="C42" sqref="C42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114</v>
      </c>
    </row>
    <row r="3" spans="1:1" x14ac:dyDescent="0.25">
      <c r="A3" t="s">
        <v>80</v>
      </c>
    </row>
    <row r="4" spans="1:1" x14ac:dyDescent="0.25">
      <c r="A4" t="s">
        <v>106</v>
      </c>
    </row>
    <row r="5" spans="1:1" x14ac:dyDescent="0.25">
      <c r="A5" t="s">
        <v>99</v>
      </c>
    </row>
    <row r="6" spans="1:1" x14ac:dyDescent="0.25">
      <c r="A6" t="s">
        <v>116</v>
      </c>
    </row>
    <row r="7" spans="1:1" x14ac:dyDescent="0.25">
      <c r="A7" t="s">
        <v>131</v>
      </c>
    </row>
    <row r="8" spans="1:1" x14ac:dyDescent="0.25">
      <c r="A8" t="s">
        <v>128</v>
      </c>
    </row>
    <row r="9" spans="1:1" x14ac:dyDescent="0.25">
      <c r="A9" t="s">
        <v>102</v>
      </c>
    </row>
    <row r="10" spans="1:1" x14ac:dyDescent="0.25">
      <c r="A10" t="s">
        <v>125</v>
      </c>
    </row>
    <row r="11" spans="1:1" x14ac:dyDescent="0.25">
      <c r="A11" t="s">
        <v>54</v>
      </c>
    </row>
    <row r="12" spans="1:1" x14ac:dyDescent="0.25">
      <c r="A12" t="s">
        <v>122</v>
      </c>
    </row>
    <row r="13" spans="1:1" x14ac:dyDescent="0.25">
      <c r="A13" t="s">
        <v>82</v>
      </c>
    </row>
    <row r="14" spans="1:1" x14ac:dyDescent="0.25">
      <c r="A14" t="s">
        <v>124</v>
      </c>
    </row>
    <row r="15" spans="1:1" x14ac:dyDescent="0.25">
      <c r="A15" t="s">
        <v>136</v>
      </c>
    </row>
    <row r="16" spans="1:1" x14ac:dyDescent="0.25">
      <c r="A16" t="s">
        <v>132</v>
      </c>
    </row>
    <row r="17" spans="1:1" x14ac:dyDescent="0.25">
      <c r="A17" t="s">
        <v>3</v>
      </c>
    </row>
    <row r="18" spans="1:1" x14ac:dyDescent="0.25">
      <c r="A18" t="s">
        <v>133</v>
      </c>
    </row>
    <row r="19" spans="1:1" x14ac:dyDescent="0.25">
      <c r="A19" t="s">
        <v>126</v>
      </c>
    </row>
    <row r="20" spans="1:1" x14ac:dyDescent="0.25">
      <c r="A20" t="s">
        <v>137</v>
      </c>
    </row>
    <row r="21" spans="1:1" x14ac:dyDescent="0.25">
      <c r="A21" t="s">
        <v>74</v>
      </c>
    </row>
    <row r="22" spans="1:1" x14ac:dyDescent="0.25">
      <c r="A22" t="s">
        <v>138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F4FE-A52D-4398-8BE4-A0ECC46C9962}">
  <dimension ref="A1:A23"/>
  <sheetViews>
    <sheetView workbookViewId="0">
      <selection activeCell="I68" sqref="I68"/>
    </sheetView>
  </sheetViews>
  <sheetFormatPr defaultRowHeight="15" x14ac:dyDescent="0.25"/>
  <cols>
    <col min="1" max="1" width="16.7109375" bestFit="1" customWidth="1"/>
  </cols>
  <sheetData>
    <row r="1" spans="1:1" x14ac:dyDescent="0.25">
      <c r="A1" t="s">
        <v>0</v>
      </c>
    </row>
    <row r="2" spans="1:1" x14ac:dyDescent="0.25">
      <c r="A2" t="s">
        <v>114</v>
      </c>
    </row>
    <row r="3" spans="1:1" x14ac:dyDescent="0.25">
      <c r="A3" t="s">
        <v>128</v>
      </c>
    </row>
    <row r="4" spans="1:1" x14ac:dyDescent="0.25">
      <c r="A4" t="s">
        <v>99</v>
      </c>
    </row>
    <row r="5" spans="1:1" x14ac:dyDescent="0.25">
      <c r="A5" t="s">
        <v>132</v>
      </c>
    </row>
    <row r="6" spans="1:1" x14ac:dyDescent="0.25">
      <c r="A6" t="s">
        <v>116</v>
      </c>
    </row>
    <row r="7" spans="1:1" x14ac:dyDescent="0.25">
      <c r="A7" t="s">
        <v>80</v>
      </c>
    </row>
    <row r="8" spans="1:1" x14ac:dyDescent="0.25">
      <c r="A8" t="s">
        <v>131</v>
      </c>
    </row>
    <row r="9" spans="1:1" x14ac:dyDescent="0.25">
      <c r="A9" t="s">
        <v>122</v>
      </c>
    </row>
    <row r="10" spans="1:1" x14ac:dyDescent="0.25">
      <c r="A10" t="s">
        <v>54</v>
      </c>
    </row>
    <row r="11" spans="1:1" x14ac:dyDescent="0.25">
      <c r="A11" t="s">
        <v>106</v>
      </c>
    </row>
    <row r="12" spans="1:1" x14ac:dyDescent="0.25">
      <c r="A12" t="s">
        <v>102</v>
      </c>
    </row>
    <row r="13" spans="1:1" x14ac:dyDescent="0.25">
      <c r="A13" t="s">
        <v>82</v>
      </c>
    </row>
    <row r="14" spans="1:1" x14ac:dyDescent="0.25">
      <c r="A14" t="s">
        <v>110</v>
      </c>
    </row>
    <row r="15" spans="1:1" x14ac:dyDescent="0.25">
      <c r="A15" t="s">
        <v>125</v>
      </c>
    </row>
    <row r="16" spans="1:1" x14ac:dyDescent="0.25">
      <c r="A16" t="s">
        <v>124</v>
      </c>
    </row>
    <row r="17" spans="1:1" x14ac:dyDescent="0.25">
      <c r="A17" t="s">
        <v>137</v>
      </c>
    </row>
    <row r="18" spans="1:1" x14ac:dyDescent="0.25">
      <c r="A18" t="s">
        <v>136</v>
      </c>
    </row>
    <row r="19" spans="1:1" x14ac:dyDescent="0.25">
      <c r="A19" t="s">
        <v>139</v>
      </c>
    </row>
    <row r="20" spans="1:1" x14ac:dyDescent="0.25">
      <c r="A20" t="s">
        <v>130</v>
      </c>
    </row>
    <row r="21" spans="1:1" x14ac:dyDescent="0.25">
      <c r="A21" t="s">
        <v>133</v>
      </c>
    </row>
    <row r="22" spans="1:1" x14ac:dyDescent="0.25">
      <c r="A22" t="s">
        <v>140</v>
      </c>
    </row>
    <row r="23" spans="1:1" x14ac:dyDescent="0.25">
      <c r="A23" t="s">
        <v>94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EA40-13C9-4D0C-A228-ED069B0DFCDE}">
  <dimension ref="A1:A23"/>
  <sheetViews>
    <sheetView workbookViewId="0">
      <selection activeCell="H49" sqref="H49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0</v>
      </c>
    </row>
    <row r="2" spans="1:1" x14ac:dyDescent="0.25">
      <c r="A2" t="s">
        <v>114</v>
      </c>
    </row>
    <row r="3" spans="1:1" x14ac:dyDescent="0.25">
      <c r="A3" t="s">
        <v>99</v>
      </c>
    </row>
    <row r="4" spans="1:1" x14ac:dyDescent="0.25">
      <c r="A4" t="s">
        <v>80</v>
      </c>
    </row>
    <row r="5" spans="1:1" x14ac:dyDescent="0.25">
      <c r="A5" t="s">
        <v>54</v>
      </c>
    </row>
    <row r="6" spans="1:1" x14ac:dyDescent="0.25">
      <c r="A6" t="s">
        <v>128</v>
      </c>
    </row>
    <row r="7" spans="1:1" x14ac:dyDescent="0.25">
      <c r="A7" t="s">
        <v>131</v>
      </c>
    </row>
    <row r="8" spans="1:1" x14ac:dyDescent="0.25">
      <c r="A8" t="s">
        <v>116</v>
      </c>
    </row>
    <row r="9" spans="1:1" x14ac:dyDescent="0.25">
      <c r="A9" t="s">
        <v>132</v>
      </c>
    </row>
    <row r="10" spans="1:1" x14ac:dyDescent="0.25">
      <c r="A10" t="s">
        <v>141</v>
      </c>
    </row>
    <row r="11" spans="1:1" x14ac:dyDescent="0.25">
      <c r="A11" t="s">
        <v>124</v>
      </c>
    </row>
    <row r="12" spans="1:1" x14ac:dyDescent="0.25">
      <c r="A12" t="s">
        <v>125</v>
      </c>
    </row>
    <row r="13" spans="1:1" x14ac:dyDescent="0.25">
      <c r="A13" t="s">
        <v>122</v>
      </c>
    </row>
    <row r="14" spans="1:1" x14ac:dyDescent="0.25">
      <c r="A14" t="s">
        <v>130</v>
      </c>
    </row>
    <row r="15" spans="1:1" x14ac:dyDescent="0.25">
      <c r="A15" t="s">
        <v>136</v>
      </c>
    </row>
    <row r="16" spans="1:1" x14ac:dyDescent="0.25">
      <c r="A16" t="s">
        <v>106</v>
      </c>
    </row>
    <row r="17" spans="1:1" x14ac:dyDescent="0.25">
      <c r="A17" t="s">
        <v>94</v>
      </c>
    </row>
    <row r="18" spans="1:1" x14ac:dyDescent="0.25">
      <c r="A18" t="s">
        <v>102</v>
      </c>
    </row>
    <row r="19" spans="1:1" x14ac:dyDescent="0.25">
      <c r="A19" t="s">
        <v>139</v>
      </c>
    </row>
    <row r="20" spans="1:1" x14ac:dyDescent="0.25">
      <c r="A20" t="s">
        <v>110</v>
      </c>
    </row>
    <row r="21" spans="1:1" x14ac:dyDescent="0.25">
      <c r="A21" t="s">
        <v>142</v>
      </c>
    </row>
    <row r="22" spans="1:1" x14ac:dyDescent="0.25">
      <c r="A22" t="s">
        <v>143</v>
      </c>
    </row>
    <row r="23" spans="1:1" x14ac:dyDescent="0.25">
      <c r="A23" t="s">
        <v>140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C5AB-79A4-4A2A-A59C-9F1C1089C3B0}">
  <dimension ref="A1:A25"/>
  <sheetViews>
    <sheetView zoomScaleNormal="100" workbookViewId="0">
      <selection activeCell="G38" sqref="G38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0</v>
      </c>
    </row>
    <row r="2" spans="1:1" x14ac:dyDescent="0.25">
      <c r="A2" t="s">
        <v>114</v>
      </c>
    </row>
    <row r="3" spans="1:1" x14ac:dyDescent="0.25">
      <c r="A3" t="s">
        <v>131</v>
      </c>
    </row>
    <row r="4" spans="1:1" x14ac:dyDescent="0.25">
      <c r="A4" t="s">
        <v>128</v>
      </c>
    </row>
    <row r="5" spans="1:1" x14ac:dyDescent="0.25">
      <c r="A5" t="s">
        <v>141</v>
      </c>
    </row>
    <row r="6" spans="1:1" x14ac:dyDescent="0.25">
      <c r="A6" t="s">
        <v>116</v>
      </c>
    </row>
    <row r="7" spans="1:1" x14ac:dyDescent="0.25">
      <c r="A7" t="s">
        <v>132</v>
      </c>
    </row>
    <row r="8" spans="1:1" x14ac:dyDescent="0.25">
      <c r="A8" t="s">
        <v>80</v>
      </c>
    </row>
    <row r="9" spans="1:1" x14ac:dyDescent="0.25">
      <c r="A9" t="s">
        <v>99</v>
      </c>
    </row>
    <row r="10" spans="1:1" x14ac:dyDescent="0.25">
      <c r="A10" t="s">
        <v>54</v>
      </c>
    </row>
    <row r="11" spans="1:1" x14ac:dyDescent="0.25">
      <c r="A11" t="s">
        <v>125</v>
      </c>
    </row>
    <row r="12" spans="1:1" x14ac:dyDescent="0.25">
      <c r="A12" t="s">
        <v>94</v>
      </c>
    </row>
    <row r="13" spans="1:1" x14ac:dyDescent="0.25">
      <c r="A13" t="s">
        <v>136</v>
      </c>
    </row>
    <row r="14" spans="1:1" x14ac:dyDescent="0.25">
      <c r="A14" t="s">
        <v>124</v>
      </c>
    </row>
    <row r="15" spans="1:1" x14ac:dyDescent="0.25">
      <c r="A15" t="s">
        <v>122</v>
      </c>
    </row>
    <row r="16" spans="1:1" x14ac:dyDescent="0.25">
      <c r="A16" t="s">
        <v>110</v>
      </c>
    </row>
    <row r="17" spans="1:1" x14ac:dyDescent="0.25">
      <c r="A17" t="s">
        <v>130</v>
      </c>
    </row>
    <row r="18" spans="1:1" x14ac:dyDescent="0.25">
      <c r="A18" t="s">
        <v>102</v>
      </c>
    </row>
    <row r="19" spans="1:1" x14ac:dyDescent="0.25">
      <c r="A19" t="s">
        <v>144</v>
      </c>
    </row>
    <row r="20" spans="1:1" x14ac:dyDescent="0.25">
      <c r="A20" t="s">
        <v>145</v>
      </c>
    </row>
    <row r="21" spans="1:1" x14ac:dyDescent="0.25">
      <c r="A21" t="s">
        <v>139</v>
      </c>
    </row>
    <row r="22" spans="1:1" x14ac:dyDescent="0.25">
      <c r="A22" t="s">
        <v>142</v>
      </c>
    </row>
    <row r="23" spans="1:1" x14ac:dyDescent="0.25">
      <c r="A23" t="s">
        <v>106</v>
      </c>
    </row>
    <row r="24" spans="1:1" x14ac:dyDescent="0.25">
      <c r="A24" t="s">
        <v>143</v>
      </c>
    </row>
    <row r="25" spans="1:1" x14ac:dyDescent="0.25">
      <c r="A25" t="s">
        <v>146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5092-DD56-4DFB-A3DE-A66B323B833F}">
  <dimension ref="A1:A22"/>
  <sheetViews>
    <sheetView workbookViewId="0">
      <selection activeCell="A2" sqref="A2:A22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0</v>
      </c>
    </row>
    <row r="2" spans="1:1" x14ac:dyDescent="0.25">
      <c r="A2" t="s">
        <v>131</v>
      </c>
    </row>
    <row r="3" spans="1:1" x14ac:dyDescent="0.25">
      <c r="A3" t="s">
        <v>114</v>
      </c>
    </row>
    <row r="4" spans="1:1" x14ac:dyDescent="0.25">
      <c r="A4" t="s">
        <v>141</v>
      </c>
    </row>
    <row r="5" spans="1:1" x14ac:dyDescent="0.25">
      <c r="A5" t="s">
        <v>132</v>
      </c>
    </row>
    <row r="6" spans="1:1" x14ac:dyDescent="0.25">
      <c r="A6" t="s">
        <v>128</v>
      </c>
    </row>
    <row r="7" spans="1:1" x14ac:dyDescent="0.25">
      <c r="A7" t="s">
        <v>80</v>
      </c>
    </row>
    <row r="8" spans="1:1" x14ac:dyDescent="0.25">
      <c r="A8" t="s">
        <v>147</v>
      </c>
    </row>
    <row r="9" spans="1:1" x14ac:dyDescent="0.25">
      <c r="A9" t="s">
        <v>130</v>
      </c>
    </row>
    <row r="10" spans="1:1" x14ac:dyDescent="0.25">
      <c r="A10" t="s">
        <v>116</v>
      </c>
    </row>
    <row r="11" spans="1:1" x14ac:dyDescent="0.25">
      <c r="A11" t="s">
        <v>54</v>
      </c>
    </row>
    <row r="12" spans="1:1" x14ac:dyDescent="0.25">
      <c r="A12" t="s">
        <v>94</v>
      </c>
    </row>
    <row r="13" spans="1:1" x14ac:dyDescent="0.25">
      <c r="A13" t="s">
        <v>148</v>
      </c>
    </row>
    <row r="14" spans="1:1" x14ac:dyDescent="0.25">
      <c r="A14" t="s">
        <v>144</v>
      </c>
    </row>
    <row r="15" spans="1:1" x14ac:dyDescent="0.25">
      <c r="A15" t="s">
        <v>142</v>
      </c>
    </row>
    <row r="16" spans="1:1" x14ac:dyDescent="0.25">
      <c r="A16" t="s">
        <v>122</v>
      </c>
    </row>
    <row r="17" spans="1:1" x14ac:dyDescent="0.25">
      <c r="A17" t="s">
        <v>124</v>
      </c>
    </row>
    <row r="18" spans="1:1" x14ac:dyDescent="0.25">
      <c r="A18" t="s">
        <v>136</v>
      </c>
    </row>
    <row r="19" spans="1:1" x14ac:dyDescent="0.25">
      <c r="A19" t="s">
        <v>125</v>
      </c>
    </row>
    <row r="20" spans="1:1" x14ac:dyDescent="0.25">
      <c r="A20" t="s">
        <v>149</v>
      </c>
    </row>
    <row r="21" spans="1:1" x14ac:dyDescent="0.25">
      <c r="A21" t="s">
        <v>145</v>
      </c>
    </row>
    <row r="22" spans="1:1" x14ac:dyDescent="0.25">
      <c r="A22" t="s">
        <v>146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9004-BFC1-4A04-AEDF-CD50347CD713}">
  <dimension ref="A1:A23"/>
  <sheetViews>
    <sheetView workbookViewId="0">
      <selection activeCell="A2" sqref="A2:A23"/>
    </sheetView>
  </sheetViews>
  <sheetFormatPr defaultRowHeight="15" x14ac:dyDescent="0.25"/>
  <cols>
    <col min="1" max="1" width="16" bestFit="1" customWidth="1"/>
  </cols>
  <sheetData>
    <row r="1" spans="1:1" x14ac:dyDescent="0.25">
      <c r="A1" t="s">
        <v>0</v>
      </c>
    </row>
    <row r="2" spans="1:1" x14ac:dyDescent="0.25">
      <c r="A2" t="s">
        <v>147</v>
      </c>
    </row>
    <row r="3" spans="1:1" x14ac:dyDescent="0.25">
      <c r="A3" t="s">
        <v>132</v>
      </c>
    </row>
    <row r="4" spans="1:1" x14ac:dyDescent="0.25">
      <c r="A4" t="s">
        <v>128</v>
      </c>
    </row>
    <row r="5" spans="1:1" x14ac:dyDescent="0.25">
      <c r="A5" t="s">
        <v>80</v>
      </c>
    </row>
    <row r="6" spans="1:1" x14ac:dyDescent="0.25">
      <c r="A6" t="s">
        <v>131</v>
      </c>
    </row>
    <row r="7" spans="1:1" x14ac:dyDescent="0.25">
      <c r="A7" t="s">
        <v>141</v>
      </c>
    </row>
    <row r="8" spans="1:1" x14ac:dyDescent="0.25">
      <c r="A8" t="s">
        <v>144</v>
      </c>
    </row>
    <row r="9" spans="1:1" x14ac:dyDescent="0.25">
      <c r="A9" t="s">
        <v>125</v>
      </c>
    </row>
    <row r="10" spans="1:1" x14ac:dyDescent="0.25">
      <c r="A10" t="s">
        <v>114</v>
      </c>
    </row>
    <row r="11" spans="1:1" x14ac:dyDescent="0.25">
      <c r="A11" t="s">
        <v>142</v>
      </c>
    </row>
    <row r="12" spans="1:1" x14ac:dyDescent="0.25">
      <c r="A12" t="s">
        <v>150</v>
      </c>
    </row>
    <row r="13" spans="1:1" x14ac:dyDescent="0.25">
      <c r="A13" t="s">
        <v>148</v>
      </c>
    </row>
    <row r="14" spans="1:1" x14ac:dyDescent="0.25">
      <c r="A14" t="s">
        <v>149</v>
      </c>
    </row>
    <row r="15" spans="1:1" x14ac:dyDescent="0.25">
      <c r="A15" t="s">
        <v>116</v>
      </c>
    </row>
    <row r="16" spans="1:1" x14ac:dyDescent="0.25">
      <c r="A16" t="s">
        <v>122</v>
      </c>
    </row>
    <row r="17" spans="1:1" x14ac:dyDescent="0.25">
      <c r="A17" t="s">
        <v>145</v>
      </c>
    </row>
    <row r="18" spans="1:1" x14ac:dyDescent="0.25">
      <c r="A18" t="s">
        <v>94</v>
      </c>
    </row>
    <row r="19" spans="1:1" x14ac:dyDescent="0.25">
      <c r="A19" t="s">
        <v>130</v>
      </c>
    </row>
    <row r="20" spans="1:1" x14ac:dyDescent="0.25">
      <c r="A20" t="s">
        <v>106</v>
      </c>
    </row>
    <row r="21" spans="1:1" x14ac:dyDescent="0.25">
      <c r="A21" t="s">
        <v>99</v>
      </c>
    </row>
    <row r="22" spans="1:1" x14ac:dyDescent="0.25">
      <c r="A22" t="s">
        <v>54</v>
      </c>
    </row>
    <row r="23" spans="1:1" x14ac:dyDescent="0.25">
      <c r="A23" t="s">
        <v>124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Laps_Completed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Simon</dc:creator>
  <cp:lastModifiedBy>Owen Simon</cp:lastModifiedBy>
  <dcterms:created xsi:type="dcterms:W3CDTF">2026-04-07T01:29:25Z</dcterms:created>
  <dcterms:modified xsi:type="dcterms:W3CDTF">2026-04-19T04:53:33Z</dcterms:modified>
</cp:coreProperties>
</file>